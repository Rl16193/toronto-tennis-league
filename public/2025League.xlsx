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fe194b0d499b50/Desktop/Tennis/toronto-tennis-league/public/"/>
    </mc:Choice>
  </mc:AlternateContent>
  <xr:revisionPtr revIDLastSave="97" documentId="8_{0790962C-C37E-4EAD-A29D-006B6287D132}" xr6:coauthVersionLast="47" xr6:coauthVersionMax="47" xr10:uidLastSave="{7CE2014D-A8CC-4F7B-B173-DD0B28892845}"/>
  <bookViews>
    <workbookView xWindow="-120" yWindow="-120" windowWidth="29040" windowHeight="15720" activeTab="1" xr2:uid="{4A9C3D40-FDBC-41E5-8D07-AF019402ABDD}"/>
  </bookViews>
  <sheets>
    <sheet name="Men's" sheetId="1" r:id="rId1"/>
    <sheet name="Women's" sheetId="2" r:id="rId2"/>
  </sheets>
  <definedNames>
    <definedName name="_xlnm._FilterDatabase" localSheetId="0" hidden="1">'Men''s'!$A$1:$M$21</definedName>
    <definedName name="_xlnm._FilterDatabase" localSheetId="1" hidden="1">'Women''s'!$A$1:$M$10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M10" i="2"/>
  <c r="M9" i="2"/>
  <c r="M8" i="2"/>
  <c r="M7" i="2"/>
  <c r="M6" i="2"/>
  <c r="M5" i="2"/>
  <c r="M4" i="2"/>
  <c r="M3" i="2"/>
  <c r="M2" i="2"/>
  <c r="L2" i="2"/>
  <c r="H3" i="2"/>
  <c r="H4" i="2"/>
  <c r="H5" i="2"/>
  <c r="H6" i="2"/>
  <c r="H7" i="2"/>
  <c r="H8" i="2"/>
  <c r="H9" i="2"/>
  <c r="H10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I2" i="2"/>
  <c r="J3" i="2"/>
  <c r="I3" i="2"/>
  <c r="I4" i="2"/>
  <c r="I7" i="2"/>
  <c r="J8" i="2"/>
  <c r="I8" i="2"/>
  <c r="J7" i="2"/>
  <c r="J4" i="2"/>
  <c r="J2" i="2"/>
  <c r="J12" i="1"/>
  <c r="I12" i="1"/>
  <c r="J6" i="1"/>
  <c r="I6" i="1"/>
  <c r="I21" i="1"/>
  <c r="J21" i="1"/>
  <c r="I5" i="1"/>
  <c r="I2" i="1"/>
  <c r="J2" i="1"/>
  <c r="J5" i="1"/>
  <c r="K20" i="1"/>
  <c r="K13" i="1"/>
  <c r="K10" i="2"/>
  <c r="K6" i="2"/>
  <c r="K9" i="2"/>
  <c r="J5" i="2"/>
  <c r="I5" i="2"/>
  <c r="K5" i="2" s="1"/>
  <c r="K3" i="2"/>
  <c r="J19" i="1"/>
  <c r="I19" i="1"/>
  <c r="J4" i="1"/>
  <c r="I4" i="1"/>
  <c r="J7" i="1"/>
  <c r="I7" i="1"/>
  <c r="K7" i="1" s="1"/>
  <c r="J11" i="1"/>
  <c r="I11" i="1"/>
  <c r="K11" i="1" s="1"/>
  <c r="J10" i="1"/>
  <c r="I10" i="1"/>
  <c r="I18" i="1"/>
  <c r="J18" i="1"/>
  <c r="J9" i="1"/>
  <c r="I9" i="1"/>
  <c r="K9" i="1" s="1"/>
  <c r="J3" i="1"/>
  <c r="I3" i="1"/>
  <c r="K3" i="1" s="1"/>
  <c r="J8" i="1"/>
  <c r="I8" i="1"/>
  <c r="K8" i="1" s="1"/>
  <c r="J17" i="1"/>
  <c r="I17" i="1"/>
  <c r="J16" i="1"/>
  <c r="I16" i="1"/>
  <c r="K16" i="1" s="1"/>
  <c r="J15" i="1"/>
  <c r="I15" i="1"/>
  <c r="K15" i="1" s="1"/>
  <c r="J14" i="1"/>
  <c r="K14" i="1" s="1"/>
  <c r="K18" i="1" l="1"/>
  <c r="K21" i="1"/>
  <c r="K17" i="1"/>
  <c r="K4" i="1"/>
  <c r="K4" i="2"/>
  <c r="K7" i="2"/>
  <c r="K2" i="2"/>
  <c r="K6" i="1"/>
  <c r="K5" i="1"/>
  <c r="K2" i="1"/>
  <c r="K12" i="1"/>
  <c r="K10" i="1"/>
  <c r="K19" i="1"/>
  <c r="K8" i="2"/>
</calcChain>
</file>

<file path=xl/sharedStrings.xml><?xml version="1.0" encoding="utf-8"?>
<sst xmlns="http://schemas.openxmlformats.org/spreadsheetml/2006/main" count="129" uniqueCount="63">
  <si>
    <t>user_id</t>
  </si>
  <si>
    <t>name</t>
  </si>
  <si>
    <t>tournamentsPlayed</t>
  </si>
  <si>
    <t>wins</t>
  </si>
  <si>
    <t>pointswon</t>
  </si>
  <si>
    <t>matchesPlayed</t>
  </si>
  <si>
    <t>totalPointsPlayed</t>
  </si>
  <si>
    <t>pointsWonPct</t>
  </si>
  <si>
    <t>Annas Tariq</t>
  </si>
  <si>
    <t>League</t>
  </si>
  <si>
    <t>Men's</t>
  </si>
  <si>
    <t>OT1vuG7GhFfstKPrefNXKaz7AvB3</t>
  </si>
  <si>
    <t>HaWx1A5UbbWReXRpskzej0cnz4Z2</t>
  </si>
  <si>
    <t>0zvtXSGLrTPrADaKIIuxGeeamwF2</t>
  </si>
  <si>
    <t>9MuTAOc8ekgA3OVdoGX5I6rpe1z1</t>
  </si>
  <si>
    <t>Edward Yan</t>
  </si>
  <si>
    <t>Blake Bell</t>
  </si>
  <si>
    <t>Anand Murthy</t>
  </si>
  <si>
    <t>Karthik K</t>
  </si>
  <si>
    <t>John Lescano</t>
  </si>
  <si>
    <t>Alykhan Kassim</t>
  </si>
  <si>
    <t>Vakul</t>
  </si>
  <si>
    <t>Nigel White</t>
  </si>
  <si>
    <t>Sergio Trujillo</t>
  </si>
  <si>
    <t>Womens</t>
  </si>
  <si>
    <t>Andrea Vera</t>
  </si>
  <si>
    <t>Avinash Bhomia</t>
  </si>
  <si>
    <t>Alex Leduc</t>
  </si>
  <si>
    <t>Rafael</t>
  </si>
  <si>
    <t>Richard Ibanga</t>
  </si>
  <si>
    <t>Himanshu W</t>
  </si>
  <si>
    <t>Gustavo Linardi Espinosa</t>
  </si>
  <si>
    <t>Rohan Singla</t>
  </si>
  <si>
    <t>Jo Caisip</t>
  </si>
  <si>
    <t>Yesica Arias</t>
  </si>
  <si>
    <t>Mirary Montero</t>
  </si>
  <si>
    <t>Emilia</t>
  </si>
  <si>
    <t>Dhwaani</t>
  </si>
  <si>
    <t>Nikita Kokal</t>
  </si>
  <si>
    <t>Lina</t>
  </si>
  <si>
    <t>Andrea Amans</t>
  </si>
  <si>
    <t>Kabir Agarwal</t>
  </si>
  <si>
    <t>Draw</t>
  </si>
  <si>
    <t>Master's</t>
  </si>
  <si>
    <t>Challenger's</t>
  </si>
  <si>
    <t>Nadir Khan</t>
  </si>
  <si>
    <t>Steven Dorfman</t>
  </si>
  <si>
    <t>Ka26eF5DWFh3yrjM5NckkpxR82P2</t>
  </si>
  <si>
    <t>loses</t>
  </si>
  <si>
    <t>leaguePoints25</t>
  </si>
  <si>
    <t>leaguepoints26</t>
  </si>
  <si>
    <t>leaguePoints26</t>
  </si>
  <si>
    <t>iGKcsBqqFlULQQL3pvWpFccyZbH2</t>
  </si>
  <si>
    <t>FYfJk0PcGWQ6X48uEeIh1vmHutp1</t>
  </si>
  <si>
    <t>ZdndyXPidzWoEIxNvpzGD3klAIr2</t>
  </si>
  <si>
    <t>1zpKUWSKlZT8HzRhC1lNmP4kcxr1</t>
  </si>
  <si>
    <t>DvFLW1KmVBg74G770pbUGdpxr9D2</t>
  </si>
  <si>
    <t>c7AWyciStae1NjR2JpJgkOI8Ik23</t>
  </si>
  <si>
    <t>jt7b7TpPhKM0DRADJj5s6hVXPLo1</t>
  </si>
  <si>
    <t>UK7BFathiQXpRp6QTu12wM8Tev72</t>
  </si>
  <si>
    <t>l9sLu1mK9EYYwGh2MWYcAQJkYFT2</t>
  </si>
  <si>
    <t>1071QfkYTWdyTNjgIy3deM2kGpv1</t>
  </si>
  <si>
    <t>1hbwwbdt7ZRjd4dPlWC292lUVFg2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</si>
</sst>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Google Sans"/>
    </font>
    <font>
      <sz val="10"/>
      <color theme="1"/>
      <name val="Google Sans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787-79AD-43CC-9306-04447F05B807}">
  <sheetPr filterMode="1"/>
  <dimension ref="A1:M21"/>
  <sheetViews>
    <sheetView workbookViewId="0">
      <selection activeCell="A4" sqref="A4:M15"/>
    </sheetView>
  </sheetViews>
  <sheetFormatPr defaultRowHeight="15"/>
  <cols>
    <col min="1" max="1" width="17.140625" customWidth="1"/>
    <col min="2" max="2" width="7.140625" bestFit="1" customWidth="1"/>
    <col min="3" max="3" width="26.7109375" customWidth="1"/>
    <col min="4" max="4" width="15.42578125" customWidth="1"/>
    <col min="5" max="5" width="11.140625" customWidth="1"/>
    <col min="6" max="6" width="14.5703125" bestFit="1" customWidth="1"/>
    <col min="7" max="7" width="5.140625" bestFit="1" customWidth="1"/>
    <col min="8" max="8" width="5.140625" customWidth="1"/>
    <col min="9" max="9" width="10.28515625" bestFit="1" customWidth="1"/>
    <col min="10" max="10" width="16.5703125" bestFit="1" customWidth="1"/>
    <col min="11" max="11" width="13.42578125" bestFit="1" customWidth="1"/>
    <col min="12" max="12" width="12.42578125" bestFit="1" customWidth="1"/>
  </cols>
  <sheetData>
    <row r="1" spans="1:13">
      <c r="A1" t="s">
        <v>0</v>
      </c>
      <c r="B1" t="s">
        <v>9</v>
      </c>
      <c r="C1" t="s">
        <v>1</v>
      </c>
      <c r="D1" t="s">
        <v>42</v>
      </c>
      <c r="E1" t="s">
        <v>2</v>
      </c>
      <c r="F1" t="s">
        <v>5</v>
      </c>
      <c r="G1" t="s">
        <v>3</v>
      </c>
      <c r="H1" t="s">
        <v>48</v>
      </c>
      <c r="I1" t="s">
        <v>4</v>
      </c>
      <c r="J1" t="s">
        <v>6</v>
      </c>
      <c r="K1" t="s">
        <v>7</v>
      </c>
      <c r="L1" t="s">
        <v>49</v>
      </c>
      <c r="M1" t="s">
        <v>51</v>
      </c>
    </row>
    <row r="2" spans="1:13" hidden="1">
      <c r="A2" s="1" t="s">
        <v>11</v>
      </c>
      <c r="B2" t="s">
        <v>10</v>
      </c>
      <c r="C2" t="s">
        <v>8</v>
      </c>
      <c r="D2" t="s">
        <v>43</v>
      </c>
      <c r="E2">
        <v>1</v>
      </c>
      <c r="F2">
        <v>4</v>
      </c>
      <c r="G2">
        <v>4</v>
      </c>
      <c r="H2">
        <f>F2-G2</f>
        <v>0</v>
      </c>
      <c r="I2">
        <f>26+20+20</f>
        <v>66</v>
      </c>
      <c r="J2">
        <f>14*8</f>
        <v>112</v>
      </c>
      <c r="K2">
        <f t="shared" ref="K2:K21" si="0">IFERROR(ROUND(I2/J2*100,2),0)</f>
        <v>58.93</v>
      </c>
      <c r="L2">
        <v>20</v>
      </c>
      <c r="M2">
        <f>L2/2</f>
        <v>10</v>
      </c>
    </row>
    <row r="3" spans="1:13" hidden="1">
      <c r="A3" t="s">
        <v>55</v>
      </c>
      <c r="B3" t="s">
        <v>10</v>
      </c>
      <c r="C3" t="s">
        <v>23</v>
      </c>
      <c r="D3" t="s">
        <v>43</v>
      </c>
      <c r="E3">
        <v>1</v>
      </c>
      <c r="F3">
        <v>5</v>
      </c>
      <c r="G3">
        <v>5</v>
      </c>
      <c r="H3">
        <f t="shared" ref="H3:H21" si="1">F3-G3</f>
        <v>0</v>
      </c>
      <c r="I3">
        <f>14+14+14+18+14</f>
        <v>74</v>
      </c>
      <c r="J3">
        <f>22+20+20+31+24</f>
        <v>117</v>
      </c>
      <c r="K3">
        <f t="shared" si="0"/>
        <v>63.25</v>
      </c>
      <c r="L3">
        <v>20</v>
      </c>
      <c r="M3">
        <f t="shared" ref="M3:M21" si="2">L3/2</f>
        <v>10</v>
      </c>
    </row>
    <row r="4" spans="1:13">
      <c r="A4" t="s">
        <v>59</v>
      </c>
      <c r="B4" t="s">
        <v>10</v>
      </c>
      <c r="C4" t="s">
        <v>31</v>
      </c>
      <c r="D4" t="s">
        <v>44</v>
      </c>
      <c r="E4">
        <v>1</v>
      </c>
      <c r="F4">
        <v>3</v>
      </c>
      <c r="G4">
        <v>3</v>
      </c>
      <c r="H4">
        <f t="shared" si="1"/>
        <v>0</v>
      </c>
      <c r="I4">
        <f>20+60*0.6 + (156-62)</f>
        <v>150</v>
      </c>
      <c r="J4">
        <f>156+24+60</f>
        <v>240</v>
      </c>
      <c r="K4">
        <f t="shared" si="0"/>
        <v>62.5</v>
      </c>
      <c r="L4">
        <v>20</v>
      </c>
      <c r="M4">
        <f t="shared" si="2"/>
        <v>10</v>
      </c>
    </row>
    <row r="5" spans="1:13" hidden="1">
      <c r="A5" s="1" t="s">
        <v>12</v>
      </c>
      <c r="B5" t="s">
        <v>10</v>
      </c>
      <c r="C5" t="s">
        <v>17</v>
      </c>
      <c r="D5" t="s">
        <v>43</v>
      </c>
      <c r="E5">
        <v>1</v>
      </c>
      <c r="F5">
        <v>4</v>
      </c>
      <c r="G5">
        <v>3</v>
      </c>
      <c r="H5">
        <f t="shared" si="1"/>
        <v>1</v>
      </c>
      <c r="I5">
        <f>26+12+4+20</f>
        <v>62</v>
      </c>
      <c r="J5">
        <f>19*6</f>
        <v>114</v>
      </c>
      <c r="K5">
        <f t="shared" si="0"/>
        <v>54.39</v>
      </c>
      <c r="L5">
        <v>10</v>
      </c>
      <c r="M5">
        <f t="shared" si="2"/>
        <v>5</v>
      </c>
    </row>
    <row r="6" spans="1:13" hidden="1">
      <c r="A6" s="1" t="s">
        <v>13</v>
      </c>
      <c r="B6" t="s">
        <v>10</v>
      </c>
      <c r="C6" t="s">
        <v>16</v>
      </c>
      <c r="D6" t="s">
        <v>43</v>
      </c>
      <c r="E6">
        <v>2</v>
      </c>
      <c r="F6">
        <v>6</v>
      </c>
      <c r="G6">
        <v>4</v>
      </c>
      <c r="H6">
        <f t="shared" si="1"/>
        <v>2</v>
      </c>
      <c r="I6">
        <f>14+14+20+19+10+28+22</f>
        <v>127</v>
      </c>
      <c r="J6">
        <f>19+21+41+27+24+14*6</f>
        <v>216</v>
      </c>
      <c r="K6">
        <f t="shared" si="0"/>
        <v>58.8</v>
      </c>
      <c r="L6">
        <v>10</v>
      </c>
      <c r="M6">
        <f t="shared" si="2"/>
        <v>5</v>
      </c>
    </row>
    <row r="7" spans="1:13" hidden="1">
      <c r="A7" t="s">
        <v>56</v>
      </c>
      <c r="B7" t="s">
        <v>10</v>
      </c>
      <c r="C7" t="s">
        <v>28</v>
      </c>
      <c r="D7" t="s">
        <v>44</v>
      </c>
      <c r="E7">
        <v>1</v>
      </c>
      <c r="F7">
        <v>3</v>
      </c>
      <c r="G7">
        <v>2</v>
      </c>
      <c r="H7">
        <f t="shared" si="1"/>
        <v>1</v>
      </c>
      <c r="I7">
        <f>22+22+62</f>
        <v>106</v>
      </c>
      <c r="J7">
        <f>40+39+156</f>
        <v>235</v>
      </c>
      <c r="K7">
        <f t="shared" si="0"/>
        <v>45.11</v>
      </c>
      <c r="L7">
        <v>10</v>
      </c>
      <c r="M7">
        <f t="shared" si="2"/>
        <v>5</v>
      </c>
    </row>
    <row r="8" spans="1:13" hidden="1">
      <c r="B8" t="s">
        <v>10</v>
      </c>
      <c r="C8" t="s">
        <v>22</v>
      </c>
      <c r="D8" t="s">
        <v>43</v>
      </c>
      <c r="E8">
        <v>1</v>
      </c>
      <c r="F8">
        <v>3</v>
      </c>
      <c r="G8">
        <v>2</v>
      </c>
      <c r="H8">
        <f t="shared" si="1"/>
        <v>1</v>
      </c>
      <c r="I8">
        <f>14+14+13</f>
        <v>41</v>
      </c>
      <c r="J8">
        <f>19+21+31</f>
        <v>71</v>
      </c>
      <c r="K8">
        <f t="shared" si="0"/>
        <v>57.75</v>
      </c>
      <c r="L8">
        <v>5</v>
      </c>
      <c r="M8">
        <f t="shared" si="2"/>
        <v>2.5</v>
      </c>
    </row>
    <row r="9" spans="1:13" hidden="1">
      <c r="B9" t="s">
        <v>10</v>
      </c>
      <c r="C9" t="s">
        <v>26</v>
      </c>
      <c r="D9" t="s">
        <v>44</v>
      </c>
      <c r="E9">
        <v>1</v>
      </c>
      <c r="F9">
        <v>2</v>
      </c>
      <c r="G9">
        <v>1</v>
      </c>
      <c r="H9">
        <f t="shared" si="1"/>
        <v>1</v>
      </c>
      <c r="I9">
        <f xml:space="preserve"> 15 + 17</f>
        <v>32</v>
      </c>
      <c r="J9">
        <f>27+39</f>
        <v>66</v>
      </c>
      <c r="K9">
        <f t="shared" si="0"/>
        <v>48.48</v>
      </c>
      <c r="L9">
        <v>5</v>
      </c>
      <c r="M9">
        <f t="shared" si="2"/>
        <v>2.5</v>
      </c>
    </row>
    <row r="10" spans="1:13" hidden="1">
      <c r="B10" t="s">
        <v>10</v>
      </c>
      <c r="C10" t="s">
        <v>29</v>
      </c>
      <c r="D10" t="s">
        <v>44</v>
      </c>
      <c r="E10">
        <v>1</v>
      </c>
      <c r="F10">
        <v>2</v>
      </c>
      <c r="G10">
        <v>1</v>
      </c>
      <c r="H10">
        <f t="shared" si="1"/>
        <v>1</v>
      </c>
      <c r="I10">
        <f>20+60*0.4</f>
        <v>44</v>
      </c>
      <c r="J10">
        <f>60+36</f>
        <v>96</v>
      </c>
      <c r="K10">
        <f t="shared" si="0"/>
        <v>45.83</v>
      </c>
      <c r="L10">
        <v>5</v>
      </c>
      <c r="M10">
        <f t="shared" si="2"/>
        <v>2.5</v>
      </c>
    </row>
    <row r="11" spans="1:13" hidden="1">
      <c r="A11" t="s">
        <v>57</v>
      </c>
      <c r="B11" t="s">
        <v>10</v>
      </c>
      <c r="C11" t="s">
        <v>30</v>
      </c>
      <c r="D11" t="s">
        <v>44</v>
      </c>
      <c r="E11">
        <v>1</v>
      </c>
      <c r="F11">
        <v>2</v>
      </c>
      <c r="G11">
        <v>0</v>
      </c>
      <c r="H11">
        <f t="shared" si="1"/>
        <v>2</v>
      </c>
      <c r="I11">
        <f>19+16</f>
        <v>35</v>
      </c>
      <c r="J11">
        <f>40+36</f>
        <v>76</v>
      </c>
      <c r="K11">
        <f t="shared" si="0"/>
        <v>46.05</v>
      </c>
      <c r="L11">
        <v>5</v>
      </c>
      <c r="M11">
        <f t="shared" si="2"/>
        <v>2.5</v>
      </c>
    </row>
    <row r="12" spans="1:13" hidden="1">
      <c r="B12" t="s">
        <v>10</v>
      </c>
      <c r="C12" t="s">
        <v>41</v>
      </c>
      <c r="D12" t="s">
        <v>43</v>
      </c>
      <c r="E12">
        <v>1</v>
      </c>
      <c r="F12">
        <v>2</v>
      </c>
      <c r="G12">
        <v>1</v>
      </c>
      <c r="H12">
        <f t="shared" si="1"/>
        <v>1</v>
      </c>
      <c r="I12">
        <f>20+12</f>
        <v>32</v>
      </c>
      <c r="J12">
        <f>32+32</f>
        <v>64</v>
      </c>
      <c r="K12">
        <f t="shared" si="0"/>
        <v>50</v>
      </c>
      <c r="L12">
        <v>5</v>
      </c>
      <c r="M12">
        <f t="shared" si="2"/>
        <v>2.5</v>
      </c>
    </row>
    <row r="13" spans="1:13" hidden="1">
      <c r="A13" s="1" t="s">
        <v>14</v>
      </c>
      <c r="B13" t="s">
        <v>10</v>
      </c>
      <c r="C13" t="s">
        <v>15</v>
      </c>
      <c r="D13" t="s">
        <v>43</v>
      </c>
      <c r="E13">
        <v>1</v>
      </c>
      <c r="F13">
        <v>1</v>
      </c>
      <c r="G13">
        <v>0</v>
      </c>
      <c r="H13">
        <f t="shared" si="1"/>
        <v>1</v>
      </c>
      <c r="I13">
        <v>12</v>
      </c>
      <c r="J13">
        <v>32</v>
      </c>
      <c r="K13">
        <f t="shared" si="0"/>
        <v>37.5</v>
      </c>
      <c r="L13">
        <v>3</v>
      </c>
      <c r="M13">
        <f t="shared" si="2"/>
        <v>1.5</v>
      </c>
    </row>
    <row r="14" spans="1:13" hidden="1">
      <c r="B14" t="s">
        <v>10</v>
      </c>
      <c r="C14" t="s">
        <v>18</v>
      </c>
      <c r="D14" t="s">
        <v>43</v>
      </c>
      <c r="E14">
        <v>1</v>
      </c>
      <c r="F14">
        <v>3</v>
      </c>
      <c r="G14">
        <v>2</v>
      </c>
      <c r="H14">
        <f t="shared" si="1"/>
        <v>1</v>
      </c>
      <c r="I14">
        <v>39</v>
      </c>
      <c r="J14">
        <f>28+27+21</f>
        <v>76</v>
      </c>
      <c r="K14">
        <f t="shared" si="0"/>
        <v>51.32</v>
      </c>
      <c r="L14">
        <v>3</v>
      </c>
      <c r="M14">
        <f t="shared" si="2"/>
        <v>1.5</v>
      </c>
    </row>
    <row r="15" spans="1:13">
      <c r="A15" t="s">
        <v>60</v>
      </c>
      <c r="B15" t="s">
        <v>10</v>
      </c>
      <c r="C15" t="s">
        <v>19</v>
      </c>
      <c r="D15" t="s">
        <v>44</v>
      </c>
      <c r="E15">
        <v>1</v>
      </c>
      <c r="F15">
        <v>2</v>
      </c>
      <c r="G15">
        <v>1</v>
      </c>
      <c r="H15">
        <f t="shared" si="1"/>
        <v>1</v>
      </c>
      <c r="I15">
        <f>7+6+7+7+2+2</f>
        <v>31</v>
      </c>
      <c r="J15">
        <f>11+14+10+27</f>
        <v>62</v>
      </c>
      <c r="K15">
        <f t="shared" si="0"/>
        <v>50</v>
      </c>
      <c r="L15">
        <v>3</v>
      </c>
      <c r="M15">
        <f t="shared" si="2"/>
        <v>1.5</v>
      </c>
    </row>
    <row r="16" spans="1:13" hidden="1">
      <c r="B16" t="s">
        <v>10</v>
      </c>
      <c r="C16" t="s">
        <v>20</v>
      </c>
      <c r="D16" t="s">
        <v>43</v>
      </c>
      <c r="E16">
        <v>1</v>
      </c>
      <c r="F16">
        <v>3</v>
      </c>
      <c r="G16">
        <v>2</v>
      </c>
      <c r="H16">
        <f t="shared" si="1"/>
        <v>1</v>
      </c>
      <c r="I16">
        <f>7+8+7+5+7+6+7+8</f>
        <v>55</v>
      </c>
      <c r="J16">
        <f>10+14+11+12+12+14+16+11</f>
        <v>100</v>
      </c>
      <c r="K16">
        <f t="shared" si="0"/>
        <v>55</v>
      </c>
      <c r="L16">
        <v>3</v>
      </c>
      <c r="M16">
        <f t="shared" si="2"/>
        <v>1.5</v>
      </c>
    </row>
    <row r="17" spans="1:13" hidden="1">
      <c r="B17" t="s">
        <v>10</v>
      </c>
      <c r="C17" t="s">
        <v>21</v>
      </c>
      <c r="D17" t="s">
        <v>43</v>
      </c>
      <c r="E17">
        <v>1</v>
      </c>
      <c r="F17">
        <v>4</v>
      </c>
      <c r="G17">
        <v>2</v>
      </c>
      <c r="H17">
        <f t="shared" si="1"/>
        <v>2</v>
      </c>
      <c r="I17">
        <f>2+7+3+14+14+7</f>
        <v>47</v>
      </c>
      <c r="J17">
        <f>28+23+23+21</f>
        <v>95</v>
      </c>
      <c r="K17">
        <f t="shared" si="0"/>
        <v>49.47</v>
      </c>
      <c r="L17">
        <v>3</v>
      </c>
      <c r="M17">
        <f t="shared" si="2"/>
        <v>1.5</v>
      </c>
    </row>
    <row r="18" spans="1:13" hidden="1">
      <c r="A18" t="s">
        <v>58</v>
      </c>
      <c r="B18" t="s">
        <v>10</v>
      </c>
      <c r="C18" t="s">
        <v>27</v>
      </c>
      <c r="D18" t="s">
        <v>44</v>
      </c>
      <c r="E18">
        <v>2</v>
      </c>
      <c r="F18">
        <v>2</v>
      </c>
      <c r="G18">
        <v>0</v>
      </c>
      <c r="H18">
        <f t="shared" si="1"/>
        <v>2</v>
      </c>
      <c r="I18">
        <f>12+9</f>
        <v>21</v>
      </c>
      <c r="J18">
        <f>23+27</f>
        <v>50</v>
      </c>
      <c r="K18">
        <f t="shared" si="0"/>
        <v>42</v>
      </c>
      <c r="L18">
        <v>3</v>
      </c>
      <c r="M18">
        <f t="shared" si="2"/>
        <v>1.5</v>
      </c>
    </row>
    <row r="19" spans="1:13" hidden="1">
      <c r="B19" t="s">
        <v>10</v>
      </c>
      <c r="C19" t="s">
        <v>32</v>
      </c>
      <c r="D19" t="s">
        <v>44</v>
      </c>
      <c r="E19">
        <v>2</v>
      </c>
      <c r="F19">
        <v>2</v>
      </c>
      <c r="G19">
        <v>0</v>
      </c>
      <c r="H19">
        <f t="shared" si="1"/>
        <v>2</v>
      </c>
      <c r="I19">
        <f>9+4</f>
        <v>13</v>
      </c>
      <c r="J19">
        <f>24+24</f>
        <v>48</v>
      </c>
      <c r="K19">
        <f t="shared" si="0"/>
        <v>27.08</v>
      </c>
      <c r="L19">
        <v>3</v>
      </c>
      <c r="M19">
        <f t="shared" si="2"/>
        <v>1.5</v>
      </c>
    </row>
    <row r="20" spans="1:13" hidden="1">
      <c r="B20" t="s">
        <v>10</v>
      </c>
      <c r="C20" t="s">
        <v>45</v>
      </c>
      <c r="D20" t="s">
        <v>43</v>
      </c>
      <c r="E20">
        <v>1</v>
      </c>
      <c r="F20">
        <v>1</v>
      </c>
      <c r="G20">
        <v>0</v>
      </c>
      <c r="H20">
        <f t="shared" si="1"/>
        <v>1</v>
      </c>
      <c r="I20">
        <v>16</v>
      </c>
      <c r="J20">
        <v>36</v>
      </c>
      <c r="K20">
        <f t="shared" si="0"/>
        <v>44.44</v>
      </c>
      <c r="L20">
        <v>3</v>
      </c>
      <c r="M20">
        <f t="shared" si="2"/>
        <v>1.5</v>
      </c>
    </row>
    <row r="21" spans="1:13" hidden="1">
      <c r="A21" s="2" t="s">
        <v>47</v>
      </c>
      <c r="B21" t="s">
        <v>10</v>
      </c>
      <c r="C21" t="s">
        <v>46</v>
      </c>
      <c r="D21" t="s">
        <v>43</v>
      </c>
      <c r="E21">
        <v>1</v>
      </c>
      <c r="F21">
        <v>2</v>
      </c>
      <c r="G21">
        <v>0</v>
      </c>
      <c r="H21">
        <f t="shared" si="1"/>
        <v>2</v>
      </c>
      <c r="I21">
        <f>20+12+2</f>
        <v>34</v>
      </c>
      <c r="J21">
        <f>13*6</f>
        <v>78</v>
      </c>
      <c r="K21">
        <f t="shared" si="0"/>
        <v>43.59</v>
      </c>
      <c r="L21">
        <v>3</v>
      </c>
      <c r="M21">
        <f t="shared" si="2"/>
        <v>1.5</v>
      </c>
    </row>
  </sheetData>
  <autoFilter ref="A1:M21" xr:uid="{9BD46787-79AD-43CC-9306-04447F05B807}">
    <filterColumn colId="0">
      <filters blank="1"/>
    </filterColumn>
    <filterColumn colId="2">
      <filters>
        <filter val="Gustavo Linardi Espinosa"/>
        <filter val="John Lescano"/>
      </filters>
    </filterColumn>
  </autoFilter>
  <sortState xmlns:xlrd2="http://schemas.microsoft.com/office/spreadsheetml/2017/richdata2" ref="A2:L23">
    <sortCondition descending="1" ref="L1:L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CD7-BF29-4A0E-A546-4FE52CC5D1E6}">
  <sheetPr filterMode="1"/>
  <dimension ref="A1:M10"/>
  <sheetViews>
    <sheetView tabSelected="1" workbookViewId="0">
      <selection activeCell="A4" sqref="A4:M9"/>
    </sheetView>
  </sheetViews>
  <sheetFormatPr defaultRowHeight="15"/>
  <cols>
    <col min="3" max="3" width="18.42578125" customWidth="1"/>
    <col min="4" max="4" width="15.42578125" customWidth="1"/>
  </cols>
  <sheetData>
    <row r="1" spans="1:13">
      <c r="A1" t="s">
        <v>0</v>
      </c>
      <c r="B1" t="s">
        <v>9</v>
      </c>
      <c r="C1" t="s">
        <v>1</v>
      </c>
      <c r="D1" t="s">
        <v>42</v>
      </c>
      <c r="E1" t="s">
        <v>2</v>
      </c>
      <c r="F1" t="s">
        <v>5</v>
      </c>
      <c r="G1" t="s">
        <v>3</v>
      </c>
      <c r="H1" t="s">
        <v>48</v>
      </c>
      <c r="I1" t="s">
        <v>4</v>
      </c>
      <c r="J1" t="s">
        <v>6</v>
      </c>
      <c r="K1" t="s">
        <v>7</v>
      </c>
      <c r="L1" t="s">
        <v>49</v>
      </c>
      <c r="M1" t="s">
        <v>50</v>
      </c>
    </row>
    <row r="2" spans="1:13" hidden="1">
      <c r="A2" t="s">
        <v>53</v>
      </c>
      <c r="B2" t="s">
        <v>24</v>
      </c>
      <c r="C2" t="s">
        <v>25</v>
      </c>
      <c r="D2" t="s">
        <v>43</v>
      </c>
      <c r="E2">
        <v>2</v>
      </c>
      <c r="F2">
        <v>5</v>
      </c>
      <c r="G2">
        <v>4</v>
      </c>
      <c r="H2">
        <f>F2-G2</f>
        <v>1</v>
      </c>
      <c r="I2">
        <f>14+12+20+20+4+20</f>
        <v>90</v>
      </c>
      <c r="J2">
        <f>21+27+32*3</f>
        <v>144</v>
      </c>
      <c r="K2">
        <f>IFERROR(ROUND(I2/J2*100,2),0)</f>
        <v>62.5</v>
      </c>
      <c r="L2">
        <f>20+5</f>
        <v>25</v>
      </c>
      <c r="M2">
        <f>L2/2</f>
        <v>12.5</v>
      </c>
    </row>
    <row r="3" spans="1:13" hidden="1">
      <c r="A3" t="s">
        <v>54</v>
      </c>
      <c r="B3" t="s">
        <v>24</v>
      </c>
      <c r="C3" t="s">
        <v>33</v>
      </c>
      <c r="D3" t="s">
        <v>44</v>
      </c>
      <c r="E3">
        <v>1</v>
      </c>
      <c r="F3">
        <v>2</v>
      </c>
      <c r="G3">
        <v>1</v>
      </c>
      <c r="H3">
        <f t="shared" ref="H3:H10" si="0">F3-G3</f>
        <v>1</v>
      </c>
      <c r="I3">
        <f>28+14</f>
        <v>42</v>
      </c>
      <c r="J3">
        <f>32+40</f>
        <v>72</v>
      </c>
      <c r="K3">
        <f t="shared" ref="K3:K10" si="1">IFERROR(ROUND(I3/J3*100,2),0)</f>
        <v>58.33</v>
      </c>
      <c r="L3">
        <v>5</v>
      </c>
      <c r="M3">
        <f t="shared" ref="M3:M10" si="2">L3/2</f>
        <v>2.5</v>
      </c>
    </row>
    <row r="4" spans="1:13">
      <c r="A4" t="s">
        <v>61</v>
      </c>
      <c r="B4" t="s">
        <v>24</v>
      </c>
      <c r="C4" t="s">
        <v>35</v>
      </c>
      <c r="D4" t="s">
        <v>44</v>
      </c>
      <c r="E4">
        <v>2</v>
      </c>
      <c r="F4">
        <v>2</v>
      </c>
      <c r="G4">
        <v>0</v>
      </c>
      <c r="H4">
        <f t="shared" si="0"/>
        <v>2</v>
      </c>
      <c r="I4">
        <f>28+5</f>
        <v>33</v>
      </c>
      <c r="J4">
        <f>48+19</f>
        <v>67</v>
      </c>
      <c r="K4">
        <f t="shared" si="1"/>
        <v>49.25</v>
      </c>
      <c r="L4">
        <v>3</v>
      </c>
      <c r="M4">
        <f t="shared" si="2"/>
        <v>1.5</v>
      </c>
    </row>
    <row r="5" spans="1:13" hidden="1">
      <c r="B5" t="s">
        <v>24</v>
      </c>
      <c r="C5" t="s">
        <v>34</v>
      </c>
      <c r="D5" t="s">
        <v>44</v>
      </c>
      <c r="E5">
        <v>1</v>
      </c>
      <c r="F5">
        <v>2</v>
      </c>
      <c r="G5">
        <v>1</v>
      </c>
      <c r="H5">
        <f t="shared" si="0"/>
        <v>1</v>
      </c>
      <c r="I5">
        <f>14+6</f>
        <v>20</v>
      </c>
      <c r="J5">
        <f>19+20</f>
        <v>39</v>
      </c>
      <c r="K5">
        <f t="shared" si="1"/>
        <v>51.28</v>
      </c>
      <c r="L5">
        <v>3</v>
      </c>
      <c r="M5">
        <f t="shared" si="2"/>
        <v>1.5</v>
      </c>
    </row>
    <row r="6" spans="1:13" hidden="1">
      <c r="B6" t="s">
        <v>24</v>
      </c>
      <c r="C6" t="s">
        <v>36</v>
      </c>
      <c r="D6" t="s">
        <v>44</v>
      </c>
      <c r="E6">
        <v>1</v>
      </c>
      <c r="F6">
        <v>1</v>
      </c>
      <c r="G6">
        <v>0</v>
      </c>
      <c r="H6">
        <f t="shared" si="0"/>
        <v>1</v>
      </c>
      <c r="I6">
        <v>28</v>
      </c>
      <c r="J6">
        <v>64</v>
      </c>
      <c r="K6">
        <f t="shared" si="1"/>
        <v>43.75</v>
      </c>
      <c r="L6">
        <v>3</v>
      </c>
      <c r="M6">
        <f t="shared" si="2"/>
        <v>1.5</v>
      </c>
    </row>
    <row r="7" spans="1:13" hidden="1">
      <c r="A7" t="s">
        <v>52</v>
      </c>
      <c r="B7" t="s">
        <v>24</v>
      </c>
      <c r="C7" t="s">
        <v>37</v>
      </c>
      <c r="D7" t="s">
        <v>44</v>
      </c>
      <c r="E7">
        <v>1</v>
      </c>
      <c r="F7">
        <v>2</v>
      </c>
      <c r="G7">
        <v>1</v>
      </c>
      <c r="H7">
        <f t="shared" si="0"/>
        <v>1</v>
      </c>
      <c r="I7">
        <f>36+28</f>
        <v>64</v>
      </c>
      <c r="J7">
        <f>64+64</f>
        <v>128</v>
      </c>
      <c r="K7">
        <f t="shared" si="1"/>
        <v>50</v>
      </c>
      <c r="L7">
        <v>5</v>
      </c>
      <c r="M7">
        <f t="shared" si="2"/>
        <v>2.5</v>
      </c>
    </row>
    <row r="8" spans="1:13" hidden="1">
      <c r="B8" t="s">
        <v>24</v>
      </c>
      <c r="C8" t="s">
        <v>38</v>
      </c>
      <c r="D8" t="s">
        <v>44</v>
      </c>
      <c r="E8">
        <v>1</v>
      </c>
      <c r="F8">
        <v>3</v>
      </c>
      <c r="G8">
        <v>2</v>
      </c>
      <c r="H8">
        <f t="shared" si="0"/>
        <v>1</v>
      </c>
      <c r="I8">
        <f>28+36+12</f>
        <v>76</v>
      </c>
      <c r="J8">
        <f>18*8</f>
        <v>144</v>
      </c>
      <c r="K8">
        <f t="shared" si="1"/>
        <v>52.78</v>
      </c>
      <c r="L8">
        <v>10</v>
      </c>
      <c r="M8">
        <f t="shared" si="2"/>
        <v>5</v>
      </c>
    </row>
    <row r="9" spans="1:13">
      <c r="A9" t="s">
        <v>62</v>
      </c>
      <c r="B9" t="s">
        <v>24</v>
      </c>
      <c r="C9" t="s">
        <v>39</v>
      </c>
      <c r="D9" t="s">
        <v>44</v>
      </c>
      <c r="E9">
        <v>1</v>
      </c>
      <c r="F9">
        <v>1</v>
      </c>
      <c r="G9">
        <v>0</v>
      </c>
      <c r="H9">
        <f t="shared" si="0"/>
        <v>1</v>
      </c>
      <c r="I9">
        <v>20</v>
      </c>
      <c r="J9">
        <v>48</v>
      </c>
      <c r="K9">
        <f t="shared" si="1"/>
        <v>41.67</v>
      </c>
      <c r="L9">
        <v>3</v>
      </c>
      <c r="M9">
        <f t="shared" si="2"/>
        <v>1.5</v>
      </c>
    </row>
    <row r="10" spans="1:13" hidden="1">
      <c r="B10" t="s">
        <v>24</v>
      </c>
      <c r="C10" t="s">
        <v>40</v>
      </c>
      <c r="D10" t="s">
        <v>44</v>
      </c>
      <c r="E10">
        <v>1</v>
      </c>
      <c r="F10">
        <v>1</v>
      </c>
      <c r="G10">
        <v>0</v>
      </c>
      <c r="H10">
        <f t="shared" si="0"/>
        <v>1</v>
      </c>
      <c r="I10">
        <v>12</v>
      </c>
      <c r="J10">
        <v>32</v>
      </c>
      <c r="K10">
        <f t="shared" si="1"/>
        <v>37.5</v>
      </c>
      <c r="L10">
        <v>3</v>
      </c>
      <c r="M10">
        <f t="shared" si="2"/>
        <v>1.5</v>
      </c>
    </row>
  </sheetData>
  <autoFilter ref="A1:M10" xr:uid="{42BE5CD7-BF29-4A0E-A546-4FE52CC5D1E6}">
    <filterColumn colId="2">
      <filters>
        <filter val="Lina"/>
        <filter val="Mirary Monte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Men's</vt:lpstr>
      <vt:lpstr>Women's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Lal</dc:creator>
  <cp:lastModifiedBy>Rahul Lal</cp:lastModifiedBy>
  <dcterms:created xsi:type="dcterms:W3CDTF">2026-04-24T17:43:54Z</dcterms:created>
  <dcterms:modified xsi:type="dcterms:W3CDTF">2026-06-04T04:04:28Z</dcterms:modified>
</cp:coreProperties>
</file>