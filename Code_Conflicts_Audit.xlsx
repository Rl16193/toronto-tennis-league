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Legend" sheetId="3" state="visible" r:id="rId3"/>
  </sheets>
  <definedNames>
    <definedName name="_xlnm._FilterDatabase" localSheetId="1" hidden="1">'Findings'!$A$1:$N$39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color rgb="00143D34"/>
      <sz val="14"/>
    </font>
    <font>
      <name val="Arial"/>
      <i val="1"/>
      <sz val="9"/>
    </font>
    <font>
      <name val="Arial"/>
      <b val="1"/>
      <sz val="9"/>
    </font>
  </fonts>
  <fills count="3">
    <fill>
      <patternFill/>
    </fill>
    <fill>
      <patternFill patternType="gray125"/>
    </fill>
    <fill>
      <patternFill patternType="solid">
        <fgColor rgb="00143D3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left" vertical="center"/>
    </xf>
    <xf numFmtId="0" fontId="1" fillId="2" borderId="1" applyAlignment="1" pivotButton="0" quotePrefix="0" xfId="0">
      <alignment horizontal="center" vertical="center"/>
    </xf>
    <xf numFmtId="0" fontId="2" fillId="0" borderId="1" pivotButton="0" quotePrefix="0" xfId="0"/>
    <xf numFmtId="0" fontId="5" fillId="0" borderId="1"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2"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dxfs count="3">
    <dxf>
      <font>
        <name val="Arial"/>
        <b val="1"/>
        <color rgb="00842029"/>
        <sz val="9"/>
      </font>
      <fill>
        <patternFill patternType="solid">
          <fgColor rgb="00F8D7DA"/>
        </patternFill>
      </fill>
    </dxf>
    <dxf>
      <font>
        <name val="Arial"/>
        <b val="1"/>
        <color rgb="00664D03"/>
        <sz val="9"/>
      </font>
      <fill>
        <patternFill patternType="solid">
          <fgColor rgb="00FFF3CD"/>
        </patternFill>
      </fill>
    </dxf>
    <dxf>
      <font>
        <name val="Arial"/>
        <color rgb="0041464B"/>
        <sz val="9"/>
      </font>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s>
  <sheetData>
    <row r="1">
      <c r="A1" s="1" t="inlineStr">
        <is>
          <t>Code Conflicts Audit — Racquets &amp; Strings</t>
        </is>
      </c>
    </row>
    <row r="2">
      <c r="A2" s="2" t="inlineStr">
        <is>
          <t>Local working tree as of 2026-08-14 (incl. uncommitted changes). Counts below are formulas over the Findings sheet.</t>
        </is>
      </c>
    </row>
    <row r="4">
      <c r="A4" s="3" t="inlineStr">
        <is>
          <t>Total findings</t>
        </is>
      </c>
      <c r="B4" s="4" t="inlineStr">
        <is>
          <t>Count</t>
        </is>
      </c>
    </row>
    <row r="5">
      <c r="A5" s="5" t="inlineStr">
        <is>
          <t>All</t>
        </is>
      </c>
      <c r="B5" s="5">
        <f>COUNTA(Findings!$A$2:$A$39)</f>
        <v/>
      </c>
    </row>
    <row r="6"/>
    <row r="7">
      <c r="A7" s="3" t="inlineStr">
        <is>
          <t>By severity</t>
        </is>
      </c>
      <c r="B7" s="4" t="inlineStr">
        <is>
          <t>Count</t>
        </is>
      </c>
    </row>
    <row r="8">
      <c r="A8" s="5" t="inlineStr">
        <is>
          <t>High</t>
        </is>
      </c>
      <c r="B8" s="5">
        <f>COUNTIF(Findings!$D$2:$D$39,A8)</f>
        <v/>
      </c>
    </row>
    <row r="9">
      <c r="A9" s="5" t="inlineStr">
        <is>
          <t>Medium</t>
        </is>
      </c>
      <c r="B9" s="5">
        <f>COUNTIF(Findings!$D$2:$D$39,A9)</f>
        <v/>
      </c>
    </row>
    <row r="10">
      <c r="A10" s="5" t="inlineStr">
        <is>
          <t>Low</t>
        </is>
      </c>
      <c r="B10" s="5">
        <f>COUNTIF(Findings!$D$2:$D$39,A10)</f>
        <v/>
      </c>
    </row>
    <row r="11"/>
    <row r="12">
      <c r="A12" s="3" t="inlineStr">
        <is>
          <t>By category</t>
        </is>
      </c>
      <c r="B12" s="4" t="inlineStr">
        <is>
          <t>High</t>
        </is>
      </c>
      <c r="C12" s="4" t="inlineStr">
        <is>
          <t>Medium</t>
        </is>
      </c>
      <c r="D12" s="4" t="inlineStr">
        <is>
          <t>Low</t>
        </is>
      </c>
      <c r="E12" s="4" t="inlineStr">
        <is>
          <t>Total</t>
        </is>
      </c>
    </row>
    <row r="13">
      <c r="A13" s="5" t="inlineStr">
        <is>
          <t>Architecture rules</t>
        </is>
      </c>
      <c r="B13" s="5">
        <f>COUNTIFS(Findings!$B$2:$B$39,$A13,Findings!$D$2:$D$39,"High")</f>
        <v/>
      </c>
      <c r="C13" s="5">
        <f>COUNTIFS(Findings!$B$2:$B$39,$A13,Findings!$D$2:$D$39,"Medium")</f>
        <v/>
      </c>
      <c r="D13" s="5">
        <f>COUNTIFS(Findings!$B$2:$B$39,$A13,Findings!$D$2:$D$39,"Low")</f>
        <v/>
      </c>
      <c r="E13" s="6">
        <f>SUM(B13:D13)</f>
        <v/>
      </c>
    </row>
    <row r="14">
      <c r="A14" s="5" t="inlineStr">
        <is>
          <t>Contacts &amp; privacy</t>
        </is>
      </c>
      <c r="B14" s="5">
        <f>COUNTIFS(Findings!$B$2:$B$39,$A14,Findings!$D$2:$D$39,"High")</f>
        <v/>
      </c>
      <c r="C14" s="5">
        <f>COUNTIFS(Findings!$B$2:$B$39,$A14,Findings!$D$2:$D$39,"Medium")</f>
        <v/>
      </c>
      <c r="D14" s="5">
        <f>COUNTIFS(Findings!$B$2:$B$39,$A14,Findings!$D$2:$D$39,"Low")</f>
        <v/>
      </c>
      <c r="E14" s="6">
        <f>SUM(B14:D14)</f>
        <v/>
      </c>
    </row>
    <row r="15">
      <c r="A15" s="5" t="inlineStr">
        <is>
          <t>Docs vs code</t>
        </is>
      </c>
      <c r="B15" s="5">
        <f>COUNTIFS(Findings!$B$2:$B$39,$A15,Findings!$D$2:$D$39,"High")</f>
        <v/>
      </c>
      <c r="C15" s="5">
        <f>COUNTIFS(Findings!$B$2:$B$39,$A15,Findings!$D$2:$D$39,"Medium")</f>
        <v/>
      </c>
      <c r="D15" s="5">
        <f>COUNTIFS(Findings!$B$2:$B$39,$A15,Findings!$D$2:$D$39,"Low")</f>
        <v/>
      </c>
      <c r="E15" s="6">
        <f>SUM(B15:D15)</f>
        <v/>
      </c>
    </row>
    <row r="16">
      <c r="A16" s="5" t="inlineStr">
        <is>
          <t>Draw placement</t>
        </is>
      </c>
      <c r="B16" s="5">
        <f>COUNTIFS(Findings!$B$2:$B$39,$A16,Findings!$D$2:$D$39,"High")</f>
        <v/>
      </c>
      <c r="C16" s="5">
        <f>COUNTIFS(Findings!$B$2:$B$39,$A16,Findings!$D$2:$D$39,"Medium")</f>
        <v/>
      </c>
      <c r="D16" s="5">
        <f>COUNTIFS(Findings!$B$2:$B$39,$A16,Findings!$D$2:$D$39,"Low")</f>
        <v/>
      </c>
      <c r="E16" s="6">
        <f>SUM(B16:D16)</f>
        <v/>
      </c>
    </row>
    <row r="17">
      <c r="A17" s="5" t="inlineStr">
        <is>
          <t>Hand-synced mirrors</t>
        </is>
      </c>
      <c r="B17" s="5">
        <f>COUNTIFS(Findings!$B$2:$B$39,$A17,Findings!$D$2:$D$39,"High")</f>
        <v/>
      </c>
      <c r="C17" s="5">
        <f>COUNTIFS(Findings!$B$2:$B$39,$A17,Findings!$D$2:$D$39,"Medium")</f>
        <v/>
      </c>
      <c r="D17" s="5">
        <f>COUNTIFS(Findings!$B$2:$B$39,$A17,Findings!$D$2:$D$39,"Low")</f>
        <v/>
      </c>
      <c r="E17" s="6">
        <f>SUM(B17:D17)</f>
        <v/>
      </c>
    </row>
    <row r="18">
      <c r="A18" s="5" t="inlineStr">
        <is>
          <t>Leaderboards &amp; rank</t>
        </is>
      </c>
      <c r="B18" s="5">
        <f>COUNTIFS(Findings!$B$2:$B$39,$A18,Findings!$D$2:$D$39,"High")</f>
        <v/>
      </c>
      <c r="C18" s="5">
        <f>COUNTIFS(Findings!$B$2:$B$39,$A18,Findings!$D$2:$D$39,"Medium")</f>
        <v/>
      </c>
      <c r="D18" s="5">
        <f>COUNTIFS(Findings!$B$2:$B$39,$A18,Findings!$D$2:$D$39,"Low")</f>
        <v/>
      </c>
      <c r="E18" s="6">
        <f>SUM(B18:D18)</f>
        <v/>
      </c>
    </row>
    <row r="19">
      <c r="A19" s="5" t="inlineStr">
        <is>
          <t>Points &amp; scoring</t>
        </is>
      </c>
      <c r="B19" s="5">
        <f>COUNTIFS(Findings!$B$2:$B$39,$A19,Findings!$D$2:$D$39,"High")</f>
        <v/>
      </c>
      <c r="C19" s="5">
        <f>COUNTIFS(Findings!$B$2:$B$39,$A19,Findings!$D$2:$D$39,"Medium")</f>
        <v/>
      </c>
      <c r="D19" s="5">
        <f>COUNTIFS(Findings!$B$2:$B$39,$A19,Findings!$D$2:$D$39,"Low")</f>
        <v/>
      </c>
      <c r="E19" s="6">
        <f>SUM(B19:D19)</f>
        <v/>
      </c>
    </row>
    <row r="20">
      <c r="A20" s="5" t="inlineStr">
        <is>
          <t>Security rules vs code</t>
        </is>
      </c>
      <c r="B20" s="5">
        <f>COUNTIFS(Findings!$B$2:$B$39,$A20,Findings!$D$2:$D$39,"High")</f>
        <v/>
      </c>
      <c r="C20" s="5">
        <f>COUNTIFS(Findings!$B$2:$B$39,$A20,Findings!$D$2:$D$39,"Medium")</f>
        <v/>
      </c>
      <c r="D20" s="5">
        <f>COUNTIFS(Findings!$B$2:$B$39,$A20,Findings!$D$2:$D$39,"Low")</f>
        <v/>
      </c>
      <c r="E20" s="6">
        <f>SUM(B20:D20)</f>
        <v/>
      </c>
    </row>
    <row r="21">
      <c r="A21" s="5" t="inlineStr">
        <is>
          <t>Skill bands &amp; divisions</t>
        </is>
      </c>
      <c r="B21" s="5">
        <f>COUNTIFS(Findings!$B$2:$B$39,$A21,Findings!$D$2:$D$39,"High")</f>
        <v/>
      </c>
      <c r="C21" s="5">
        <f>COUNTIFS(Findings!$B$2:$B$39,$A21,Findings!$D$2:$D$39,"Medium")</f>
        <v/>
      </c>
      <c r="D21" s="5">
        <f>COUNTIFS(Findings!$B$2:$B$39,$A21,Findings!$D$2:$D$39,"Low")</f>
        <v/>
      </c>
      <c r="E21" s="6">
        <f>SUM(B21:D21)</f>
        <v/>
      </c>
    </row>
    <row r="22">
      <c r="A22" s="5" t="inlineStr">
        <is>
          <t>Theme rules</t>
        </is>
      </c>
      <c r="B22" s="5">
        <f>COUNTIFS(Findings!$B$2:$B$39,$A22,Findings!$D$2:$D$39,"High")</f>
        <v/>
      </c>
      <c r="C22" s="5">
        <f>COUNTIFS(Findings!$B$2:$B$39,$A22,Findings!$D$2:$D$39,"Medium")</f>
        <v/>
      </c>
      <c r="D22" s="5">
        <f>COUNTIFS(Findings!$B$2:$B$39,$A22,Findings!$D$2:$D$39,"Low")</f>
        <v/>
      </c>
      <c r="E22" s="6">
        <f>SUM(B22:D22)</f>
        <v/>
      </c>
    </row>
    <row r="23">
      <c r="A23" s="5" t="inlineStr">
        <is>
          <t>Tournament advancement</t>
        </is>
      </c>
      <c r="B23" s="5">
        <f>COUNTIFS(Findings!$B$2:$B$39,$A23,Findings!$D$2:$D$39,"High")</f>
        <v/>
      </c>
      <c r="C23" s="5">
        <f>COUNTIFS(Findings!$B$2:$B$39,$A23,Findings!$D$2:$D$39,"Medium")</f>
        <v/>
      </c>
      <c r="D23" s="5">
        <f>COUNTIFS(Findings!$B$2:$B$39,$A23,Findings!$D$2:$D$39,"Low")</f>
        <v/>
      </c>
      <c r="E23" s="6">
        <f>SUM(B23:D23)</f>
        <v/>
      </c>
    </row>
    <row r="24">
      <c r="A24" s="5" t="inlineStr">
        <is>
          <t>Zones</t>
        </is>
      </c>
      <c r="B24" s="5">
        <f>COUNTIFS(Findings!$B$2:$B$39,$A24,Findings!$D$2:$D$39,"High")</f>
        <v/>
      </c>
      <c r="C24" s="5">
        <f>COUNTIFS(Findings!$B$2:$B$39,$A24,Findings!$D$2:$D$39,"Medium")</f>
        <v/>
      </c>
      <c r="D24" s="5">
        <f>COUNTIFS(Findings!$B$2:$B$39,$A24,Findings!$D$2:$D$39,"Low")</f>
        <v/>
      </c>
      <c r="E24" s="6">
        <f>SUM(B24:D24)</f>
        <v/>
      </c>
    </row>
    <row r="25"/>
    <row r="26">
      <c r="A26" s="3" t="inlineStr">
        <is>
          <t>By page / workflow (a finding can count in several)</t>
        </is>
      </c>
      <c r="B26" s="4" t="inlineStr">
        <is>
          <t>Count</t>
        </is>
      </c>
    </row>
    <row r="27">
      <c r="A27" s="5" t="inlineStr">
        <is>
          <t>Tournament</t>
        </is>
      </c>
      <c r="B27" s="5">
        <f>COUNTIF(Findings!$C$2:$C$39,"*"&amp;A27&amp;"*")</f>
        <v/>
      </c>
    </row>
    <row r="28">
      <c r="A28" s="5" t="inlineStr">
        <is>
          <t>Matches</t>
        </is>
      </c>
      <c r="B28" s="5">
        <f>COUNTIF(Findings!$C$2:$C$39,"*"&amp;A28&amp;"*")</f>
        <v/>
      </c>
    </row>
    <row r="29">
      <c r="A29" s="5" t="inlineStr">
        <is>
          <t>Leagues</t>
        </is>
      </c>
      <c r="B29" s="5">
        <f>COUNTIF(Findings!$C$2:$C$39,"*"&amp;A29&amp;"*")</f>
        <v/>
      </c>
    </row>
    <row r="30">
      <c r="A30" s="5" t="inlineStr">
        <is>
          <t>Events</t>
        </is>
      </c>
      <c r="B30" s="5">
        <f>COUNTIF(Findings!$C$2:$C$39,"*"&amp;A30&amp;"*")</f>
        <v/>
      </c>
    </row>
    <row r="31">
      <c r="A31" s="5" t="inlineStr">
        <is>
          <t>Sign up</t>
        </is>
      </c>
      <c r="B31" s="5">
        <f>COUNTIF(Findings!$C$2:$C$39,"*"&amp;A31&amp;"*")</f>
        <v/>
      </c>
    </row>
    <row r="32">
      <c r="A32" s="5" t="inlineStr">
        <is>
          <t>Profile</t>
        </is>
      </c>
      <c r="B32" s="5">
        <f>COUNTIF(Findings!$C$2:$C$39,"*"&amp;A32&amp;"*")</f>
        <v/>
      </c>
    </row>
    <row r="33">
      <c r="A33" s="5" t="inlineStr">
        <is>
          <t>Tasks</t>
        </is>
      </c>
      <c r="B33" s="5">
        <f>COUNTIF(Findings!$C$2:$C$39,"*"&amp;A33&amp;"*")</f>
        <v/>
      </c>
    </row>
    <row r="34">
      <c r="A34" s="5" t="inlineStr">
        <is>
          <t>Services</t>
        </is>
      </c>
      <c r="B34" s="5">
        <f>COUNTIF(Findings!$C$2:$C$39,"*"&amp;A34&amp;"*")</f>
        <v/>
      </c>
    </row>
    <row r="35">
      <c r="A35" s="5" t="inlineStr">
        <is>
          <t>Marketplace</t>
        </is>
      </c>
      <c r="B35" s="5">
        <f>COUNTIF(Findings!$C$2:$C$39,"*"&amp;A35&amp;"*")</f>
        <v/>
      </c>
    </row>
    <row r="36">
      <c r="A36" s="5" t="inlineStr">
        <is>
          <t>Courts</t>
        </is>
      </c>
      <c r="B36" s="5">
        <f>COUNTIF(Findings!$C$2:$C$39,"*"&amp;A36&amp;"*")</f>
        <v/>
      </c>
    </row>
    <row r="37">
      <c r="A37" s="5" t="inlineStr">
        <is>
          <t>Home</t>
        </is>
      </c>
      <c r="B37" s="5">
        <f>COUNTIF(Findings!$C$2:$C$39,"*"&amp;A37&amp;"*")</f>
        <v/>
      </c>
    </row>
    <row r="38">
      <c r="A38" s="5" t="inlineStr">
        <is>
          <t>Cloud Functions</t>
        </is>
      </c>
      <c r="B38" s="5">
        <f>COUNTIF(Findings!$C$2:$C$39,"*"&amp;A38&amp;"*")</f>
        <v/>
      </c>
    </row>
    <row r="39">
      <c r="A39" s="5" t="inlineStr">
        <is>
          <t>Docs</t>
        </is>
      </c>
      <c r="B39" s="5">
        <f>COUNTIF(Findings!$C$2:$C$39,"*"&amp;A39&amp;"*")</f>
        <v/>
      </c>
    </row>
    <row r="40"/>
    <row r="41">
      <c r="A41" s="3" t="inlineStr">
        <is>
          <t>By nature</t>
        </is>
      </c>
      <c r="B41" s="4" t="inlineStr">
        <is>
          <t>Count</t>
        </is>
      </c>
    </row>
    <row r="42">
      <c r="A42" s="5" t="inlineStr">
        <is>
          <t>Conflicting logic</t>
        </is>
      </c>
      <c r="B42" s="5">
        <f>COUNTIF(Findings!$E$2:$E$39,A42)</f>
        <v/>
      </c>
    </row>
    <row r="43">
      <c r="A43" s="5" t="inlineStr">
        <is>
          <t>Doc contradicts code</t>
        </is>
      </c>
      <c r="B43" s="5">
        <f>COUNTIF(Findings!$E$2:$E$39,A43)</f>
        <v/>
      </c>
    </row>
    <row r="44">
      <c r="A44" s="5" t="inlineStr">
        <is>
          <t>Duplicate logic (drifted)</t>
        </is>
      </c>
      <c r="B44" s="5">
        <f>COUNTIF(Findings!$E$2:$E$39,A44)</f>
        <v/>
      </c>
    </row>
    <row r="45">
      <c r="A45" s="5" t="inlineStr">
        <is>
          <t>Duplicate logic (in sync)</t>
        </is>
      </c>
      <c r="B45" s="5">
        <f>COUNTIF(Findings!$E$2:$E$39,A45)</f>
        <v/>
      </c>
    </row>
    <row r="46">
      <c r="A46" s="5" t="inlineStr">
        <is>
          <t>Field with two meanings</t>
        </is>
      </c>
      <c r="B46" s="5">
        <f>COUNTIF(Findings!$E$2:$E$39,A46)</f>
        <v/>
      </c>
    </row>
    <row r="47">
      <c r="A47" s="5" t="inlineStr">
        <is>
          <t>Latent bug</t>
        </is>
      </c>
      <c r="B47" s="5">
        <f>COUNTIF(Findings!$E$2:$E$39,A47)</f>
        <v/>
      </c>
    </row>
    <row r="48">
      <c r="A48" s="5" t="inlineStr">
        <is>
          <t>Multiple logics on one thing</t>
        </is>
      </c>
      <c r="B48" s="5">
        <f>COUNTIF(Findings!$E$2:$E$39,A48)</f>
        <v/>
      </c>
    </row>
    <row r="49">
      <c r="A49" s="5" t="inlineStr">
        <is>
          <t>Rule violation</t>
        </is>
      </c>
      <c r="B49" s="5">
        <f>COUNTIF(Findings!$E$2:$E$39,A49)</f>
        <v/>
      </c>
    </row>
    <row r="50">
      <c r="A50" s="5" t="inlineStr">
        <is>
          <t>Rules vs code</t>
        </is>
      </c>
      <c r="B50" s="5">
        <f>COUNTIF(Findings!$E$2:$E$39,A50)</f>
        <v/>
      </c>
    </row>
    <row r="51">
      <c r="A51" s="5" t="inlineStr">
        <is>
          <t>Vestigial / dead config</t>
        </is>
      </c>
      <c r="B51" s="5">
        <f>COUNTIF(Findings!$E$2:$E$39,A51)</f>
        <v/>
      </c>
    </row>
    <row r="52"/>
    <row r="53">
      <c r="A53" s="3" t="inlineStr">
        <is>
          <t>Intentional / documented?</t>
        </is>
      </c>
      <c r="B53" s="4" t="inlineStr">
        <is>
          <t>Count</t>
        </is>
      </c>
    </row>
    <row r="54">
      <c r="A54" s="5" t="inlineStr">
        <is>
          <t>No</t>
        </is>
      </c>
      <c r="B54" s="5">
        <f>COUNTIF(Findings!$F$2:$F$39,A54)</f>
        <v/>
      </c>
    </row>
    <row r="55">
      <c r="A55" s="5" t="inlineStr">
        <is>
          <t>Yes</t>
        </is>
      </c>
      <c r="B55" s="5">
        <f>COUNTIF(Findings!$F$2:$F$39,A55)</f>
        <v/>
      </c>
    </row>
    <row r="56"/>
    <row r="57"/>
    <row r="58"/>
    <row r="59"/>
    <row r="60"/>
    <row r="61"/>
    <row r="62"/>
    <row r="63"/>
    <row r="64"/>
    <row r="6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6" customWidth="1" min="3" max="3"/>
    <col width="10" customWidth="1" min="4" max="4"/>
    <col width="26" customWidth="1" min="5" max="5"/>
    <col width="13" customWidth="1" min="6" max="6"/>
    <col width="46" customWidth="1" min="7" max="7"/>
    <col width="60" customWidth="1" min="8" max="8"/>
    <col width="60" customWidth="1" min="9" max="9"/>
    <col width="44" customWidth="1" min="10" max="10"/>
    <col width="44" customWidth="1" min="11" max="11"/>
    <col width="46" customWidth="1" min="12" max="12"/>
    <col width="44" customWidth="1" min="13" max="13"/>
    <col width="26" customWidth="1" min="14" max="14"/>
  </cols>
  <sheetData>
    <row r="1" ht="30" customHeight="1">
      <c r="A1" s="7" t="inlineStr">
        <is>
          <t>ID</t>
        </is>
      </c>
      <c r="B1" s="7" t="inlineStr">
        <is>
          <t>Category</t>
        </is>
      </c>
      <c r="C1" s="7" t="inlineStr">
        <is>
          <t>Page / Workflow</t>
        </is>
      </c>
      <c r="D1" s="7" t="inlineStr">
        <is>
          <t>Severity</t>
        </is>
      </c>
      <c r="E1" s="7" t="inlineStr">
        <is>
          <t>Nature</t>
        </is>
      </c>
      <c r="F1" s="7" t="inlineStr">
        <is>
          <t>Intentional / documented?</t>
        </is>
      </c>
      <c r="G1" s="7" t="inlineStr">
        <is>
          <t>Finding</t>
        </is>
      </c>
      <c r="H1" s="7" t="inlineStr">
        <is>
          <t>Logic A (what &amp; where)</t>
        </is>
      </c>
      <c r="I1" s="7" t="inlineStr">
        <is>
          <t>Logic B / C (what &amp; where)</t>
        </is>
      </c>
      <c r="J1" s="7" t="inlineStr">
        <is>
          <t>The contradiction</t>
        </is>
      </c>
      <c r="K1" s="7" t="inlineStr">
        <is>
          <t>Impact / risk</t>
        </is>
      </c>
      <c r="L1" s="7" t="inlineStr">
        <is>
          <t>Recommendation</t>
        </is>
      </c>
      <c r="M1" s="7" t="inlineStr">
        <is>
          <t>Files</t>
        </is>
      </c>
      <c r="N1" s="7" t="inlineStr">
        <is>
          <t>Verified how</t>
        </is>
      </c>
    </row>
    <row r="2" ht="150" customHeight="1">
      <c r="A2" s="8" t="inlineStr">
        <is>
          <t>C-01</t>
        </is>
      </c>
      <c r="B2" s="8" t="inlineStr">
        <is>
          <t>Points &amp; scoring</t>
        </is>
      </c>
      <c r="C2" s="8" t="inlineStr">
        <is>
          <t>Tasks / Profile / Leagues</t>
        </is>
      </c>
      <c r="D2" s="8" t="inlineStr">
        <is>
          <t>High</t>
        </is>
      </c>
      <c r="E2" s="8" t="inlineStr">
        <is>
          <t>Conflicting logic</t>
        </is>
      </c>
      <c r="F2" s="8" t="inlineStr">
        <is>
          <t>No</t>
        </is>
      </c>
      <c r="G2" s="8" t="inlineStr">
        <is>
          <t>"Matches played" is counted three different ways</t>
        </is>
      </c>
      <c r="H2" s="8" t="inlineStr">
        <is>
          <t>stats.matchesPlayed — useTournament.ts:1306-1330 increments on EVERY completed tournament match, walkovers included, and credits doubles partners (statUidsFor); ladderService.ts:187-191 adds non-tournament-sourced challenges; functions/friendlyPoints.js:59-69 adds confirmed friendlies. Shown as the 'Matches' tile on Profile, PlayerProfile, Leagues; drives Matches-page filters and useStandings 'matches organized'.</t>
        </is>
      </c>
      <c r="I2" s="8" t="inlineStr">
        <is>
          <t>tasks.matchesPlayed — functions/taskPoints.js:176-194 counts only singles/doubles with a real score, walkover excluded, CAPTAINS only (player_1_uid/player_2_uid), never decremented on reset/delete; friendlies never counted. This is what awards the 'Play 5/10/20/30/50 matches' tiers. Third: useTasks.ts:206-219 recomputes matchesPlayed client-side from matchHistory.ts (walkover-excluded tournament matches) and spreads it OVER the stored value (line 237) — so the Tasks page displays a number the tier engine did not use.</t>
        </is>
      </c>
      <c r="J2" s="8" t="inlineStr">
        <is>
          <t>Three inclusion rules for one word. Your Jul-20 rule ('played = real score, no walkover') is applied to tasks but not to stats.</t>
        </is>
      </c>
      <c r="K2" s="8" t="inlineStr">
        <is>
          <t>Same member sees different 'matches' counts on Profile vs Tasks; a doubles partner never progresses 'Play N matches'; a draw reset lowers stats and the client-derived bar but leaves the awarded tier; a friendly counts on Profile but not toward the tier.</t>
        </is>
      </c>
      <c r="L2" s="8" t="inlineStr">
        <is>
          <t>Decide the definition once (recommend: real score, not walkover/no-show, partners included). Make the server counter authoritative and display it; credit partners in taskPoints; decrement on match delete/reset. Delete the client recompute.</t>
        </is>
      </c>
      <c r="M2" s="8" t="inlineStr">
        <is>
          <t>src/pages/tournament/useTournament.ts; src/features/leagues/ladderService.ts; functions/friendlyPoints.js; functions/taskPoints.js; src/features/tasks/matchHistory.ts; src/features/tasks/useTasks.ts; src/features/leagues/useStandings.ts</t>
        </is>
      </c>
      <c r="N2" s="8" t="inlineStr">
        <is>
          <t>Read all writers; grep matchesPlayed across src+functions</t>
        </is>
      </c>
    </row>
    <row r="3" ht="150" customHeight="1">
      <c r="A3" s="8" t="inlineStr">
        <is>
          <t>C-02</t>
        </is>
      </c>
      <c r="B3" s="8" t="inlineStr">
        <is>
          <t>Points &amp; scoring</t>
        </is>
      </c>
      <c r="C3" s="8" t="inlineStr">
        <is>
          <t>Matches (Friendlies) / Leagues / Services</t>
        </is>
      </c>
      <c r="D3" s="8" t="inlineStr">
        <is>
          <t>High</t>
        </is>
      </c>
      <c r="E3" s="8" t="inlineStr">
        <is>
          <t>Doc contradicts code</t>
        </is>
      </c>
      <c r="F3" s="8" t="inlineStr">
        <is>
          <t>No</t>
        </is>
      </c>
      <c r="G3" s="8" t="inlineStr">
        <is>
          <t>Friendlies now pay league points — CLAUDE.md and the handover say they don't</t>
        </is>
      </c>
      <c r="H3" s="8" t="inlineStr">
        <is>
          <t>CLAUDE.md §Leagues, Friendlies &amp; Matches and TECHNICAL_HANDOVER.md §1: friendlies have 'no points, standings impact, or organizer step'.</t>
        </is>
      </c>
      <c r="I3" s="8" t="inlineStr">
        <is>
          <t>functions/friendlyPoints.js:25-69 pays winner +2 / loser +1 leaguePoints26 plus matchesPlayed and wins/loses on rally confirm; firestore.rules:305-322 exists specifically to make that payout safe.</t>
        </is>
      </c>
      <c r="J3" s="8" t="inlineStr">
        <is>
          <t>Documentation and code state opposite policies for the same feature.</t>
        </is>
      </c>
      <c r="K3" s="8" t="inlineStr">
        <is>
          <t>Friendlies move the Leagues table (sorted by leaguePoints26), the weekly rank, win-rate, AND the redeemable balance (functions/rewards.js:64 sums leaguePoints26) — spendable on Services.</t>
        </is>
      </c>
      <c r="L3" s="8" t="inlineStr">
        <is>
          <t>Confirm the policy you want. If friendlies should pay, rewrite CLAUDE.md/handover and say so in the FAQ; if not, remove the trigger and reverse paid rows.</t>
        </is>
      </c>
      <c r="M3" s="8" t="inlineStr">
        <is>
          <t>functions/friendlyPoints.js; functions/rewards.js; CLAUDE.md; TECHNICAL_HANDOVER.md; firestore.rules</t>
        </is>
      </c>
      <c r="N3" s="8" t="inlineStr">
        <is>
          <t>Read friendlyPoints.js; grep leaguePoints26</t>
        </is>
      </c>
    </row>
    <row r="4" ht="150" customHeight="1">
      <c r="A4" s="8" t="inlineStr">
        <is>
          <t>C-03</t>
        </is>
      </c>
      <c r="B4" s="8" t="inlineStr">
        <is>
          <t>Points &amp; scoring</t>
        </is>
      </c>
      <c r="C4" s="8" t="inlineStr">
        <is>
          <t>Tournament / Matches / Leagues</t>
        </is>
      </c>
      <c r="D4" s="8" t="inlineStr">
        <is>
          <t>Medium</t>
        </is>
      </c>
      <c r="E4" s="8" t="inlineStr">
        <is>
          <t>Multiple logics on one thing</t>
        </is>
      </c>
      <c r="F4" s="8" t="inlineStr">
        <is>
          <t>No</t>
        </is>
      </c>
      <c r="G4" s="8" t="inlineStr">
        <is>
          <t>leaguePoints26 has five independent writers with five rule sets (CLAUDE.md says one)</t>
        </is>
      </c>
      <c r="H4" s="8" t="inlineStr">
        <is>
          <t>useTournament.ts via matchAward (RR 3/1, knockout loser by round R32:1…F:10, winner 20 only at the final, no-show 1 each) + organizer RR +5 bonus (handleSetGroupBonus).</t>
        </is>
      </c>
      <c r="I4" s="8" t="inlineStr">
        <is>
          <t>ladderService.confirmChallenge ±3 with loser floored at 0; functions/friendlyPoints.js +2/+1; functions/rankSnapshot.js writes rankPosition/rankTrend beside it; profileService/Signup write skill/league on the same doc. CLAUDE.md §Stats data flow: 'One source writes to stats/{userId} at runtime'.</t>
        </is>
      </c>
      <c r="J4" s="8" t="inlineStr">
        <is>
          <t>One aggregate field is fed by tournament, ladder and friendly rules and then displayed per division tab and spent as currency; the doc denies the other writers exist.</t>
        </is>
      </c>
      <c r="K4" s="8" t="inlineStr">
        <is>
          <t>Impossible to audit where a member's points came from; policy changes must be found in five files.</t>
        </is>
      </c>
      <c r="L4" s="8" t="inlineStr">
        <is>
          <t>Keep one aggregate but add per-source counters (tournament_pts / ladder_pts / friendly_pts) so totals reconcile; replace the CLAUDE.md sentence with a writer table.</t>
        </is>
      </c>
      <c r="M4" s="8" t="inlineStr">
        <is>
          <t>src/pages/tournament/utils.ts (matchAward); useTournament.ts; ladderService.ts; functions/friendlyPoints.js; functions/rankSnapshot.js; CLAUDE.md</t>
        </is>
      </c>
      <c r="N4" s="8" t="inlineStr">
        <is>
          <t>grep leaguePoints26 (18 files)</t>
        </is>
      </c>
    </row>
    <row r="5" ht="150" customHeight="1">
      <c r="A5" s="8" t="inlineStr">
        <is>
          <t>C-04</t>
        </is>
      </c>
      <c r="B5" s="8" t="inlineStr">
        <is>
          <t>Points &amp; scoring</t>
        </is>
      </c>
      <c r="C5" s="8" t="inlineStr">
        <is>
          <t>Tournament (Doubles) / Tasks</t>
        </is>
      </c>
      <c r="D5" s="8" t="inlineStr">
        <is>
          <t>Medium</t>
        </is>
      </c>
      <c r="E5" s="8" t="inlineStr">
        <is>
          <t>Conflicting logic</t>
        </is>
      </c>
      <c r="F5" s="8" t="inlineStr">
        <is>
          <t>No</t>
        </is>
      </c>
      <c r="G5" s="8" t="inlineStr">
        <is>
          <t>Doubles partner credit: stats engine credits partners, task engine credits captains only</t>
        </is>
      </c>
      <c r="H5" s="8" t="inlineStr">
        <is>
          <t>useTournament.ts:1284-1330 statUidsFor(): both captains AND their partner_uid receive matchesPlayed/wins/games/points; reverseMatchStatsInto undoes the same set.</t>
        </is>
      </c>
      <c r="I5" s="8" t="inlineStr">
        <is>
          <t>functions/taskPoints.js:186-192 awardPairPoints uses player_1_uid/player_2_uid only — partners get no matchesPlayed, streak, months-active or tier progress.</t>
        </is>
      </c>
      <c r="J5" s="8" t="inlineStr">
        <is>
          <t>Two engines disagree on who played a doubles match.</t>
        </is>
      </c>
      <c r="K5" s="8" t="inlineStr">
        <is>
          <t>A doubles partner's Profile shows matches/wins but their Tasks tiers never move from doubles.</t>
        </is>
      </c>
      <c r="L5" s="8" t="inlineStr">
        <is>
          <t>Pass partner uids to awardPairPoints (read event_participants.partner_uid the way the client does).</t>
        </is>
      </c>
      <c r="M5" s="8" t="inlineStr">
        <is>
          <t>src/pages/tournament/useTournament.ts; functions/taskPoints.js</t>
        </is>
      </c>
      <c r="N5" s="8" t="inlineStr">
        <is>
          <t>Read both credit paths</t>
        </is>
      </c>
    </row>
    <row r="6" ht="150" customHeight="1">
      <c r="A6" s="8" t="inlineStr">
        <is>
          <t>C-05</t>
        </is>
      </c>
      <c r="B6" s="8" t="inlineStr">
        <is>
          <t>Points &amp; scoring</t>
        </is>
      </c>
      <c r="C6" s="8" t="inlineStr">
        <is>
          <t>Tournament</t>
        </is>
      </c>
      <c r="D6" s="8" t="inlineStr">
        <is>
          <t>Medium</t>
        </is>
      </c>
      <c r="E6" s="8" t="inlineStr">
        <is>
          <t>Latent bug</t>
        </is>
      </c>
      <c r="F6" s="8" t="inlineStr">
        <is>
          <t>No</t>
        </is>
      </c>
      <c r="G6" s="8" t="inlineStr">
        <is>
          <t>walkover flag is never cleared when a walkover is re-scored with a real result</t>
        </is>
      </c>
      <c r="H6" s="8" t="inlineStr">
        <is>
          <t>useTournament.ts:1272 writes `...(isWalkover ? { walkover: true } : {})` — the flag is only ever SET on the normal path. The no-show path (1245) and the reset path (1825) do write walkover:false.</t>
        </is>
      </c>
      <c r="I6" s="8" t="inlineStr">
        <is>
          <t>rrGeneration.ts:300-301 computeGroupStandings explicitly handles 'a walkover with a score alongside the flag'; taskPoints.js:184, groupAwards.js:143/167 and matchHistory.ts:19 all EXCLUDE any match with walkover===true; RRGroupCard.tsx:331 prints 'Walkover'.</t>
        </is>
      </c>
      <c r="J6" s="8" t="inlineStr">
        <is>
          <t>A match recorded as a walkover then corrected to a real score keeps walkover:true.</t>
        </is>
      </c>
      <c r="K6" s="8" t="inlineStr">
        <is>
          <t>That match pays games/points in stats but is excluded from task tiers and Matchday bonuses and is labelled 'Walkover' next to a real score.</t>
        </is>
      </c>
      <c r="L6" s="8" t="inlineStr">
        <is>
          <t>Write `walkover: !!isWalkover` on every score write, not only when true.</t>
        </is>
      </c>
      <c r="M6" s="8" t="inlineStr">
        <is>
          <t>src/pages/tournament/useTournament.ts:1272; src/pages/tournament/rrGeneration.ts:300</t>
        </is>
      </c>
      <c r="N6" s="8" t="inlineStr">
        <is>
          <t>Read updateMatchWithSubmission write payload</t>
        </is>
      </c>
    </row>
    <row r="7" ht="150" customHeight="1">
      <c r="A7" s="8" t="inlineStr">
        <is>
          <t>C-06</t>
        </is>
      </c>
      <c r="B7" s="8" t="inlineStr">
        <is>
          <t>Points &amp; scoring</t>
        </is>
      </c>
      <c r="C7" s="8" t="inlineStr">
        <is>
          <t>Tournament</t>
        </is>
      </c>
      <c r="D7" s="8" t="inlineStr">
        <is>
          <t>Low</t>
        </is>
      </c>
      <c r="E7" s="8" t="inlineStr">
        <is>
          <t>Multiple logics on one thing</t>
        </is>
      </c>
      <c r="F7" s="8" t="inlineStr">
        <is>
          <t>No</t>
        </is>
      </c>
      <c r="G7" s="8" t="inlineStr">
        <is>
          <t>Walkover carried under two names and detected two ways</t>
        </is>
      </c>
      <c r="H7" s="8" t="inlineStr">
        <is>
          <t>Match docs: `walkover` (boolean flag, authoritative for every server reader).</t>
        </is>
      </c>
      <c r="I7" s="8" t="inlineStr">
        <is>
          <t>Score-submission docs: `is_walkover` (useTournament.ts:1727) — derived from 'all sets 0-0' at submit time (line 1712). Server readers only trust the flag; adminMetricsCompute.js:97-103 must test no_show before walkover because both are all-zero scores.</t>
        </is>
      </c>
      <c r="J7" s="8" t="inlineStr">
        <is>
          <t>Same concept, two field names and two detection styles (derived vs flagged).</t>
        </is>
      </c>
      <c r="K7" s="8" t="inlineStr">
        <is>
          <t>Low today; any new reader that infers walkover from zeros will misclassify no-shows.</t>
        </is>
      </c>
      <c r="L7" s="8" t="inlineStr">
        <is>
          <t>Rename is_walkover → walkover on submissions; treat the flag as the only definition.</t>
        </is>
      </c>
      <c r="M7" s="8" t="inlineStr">
        <is>
          <t>src/pages/tournament/useTournament.ts:1712,1727; functions/lib/adminMetricsCompute.js:97-103</t>
        </is>
      </c>
      <c r="N7" s="8" t="inlineStr">
        <is>
          <t>grep walkover</t>
        </is>
      </c>
    </row>
    <row r="8" ht="150" customHeight="1">
      <c r="A8" s="8" t="inlineStr">
        <is>
          <t>C-07</t>
        </is>
      </c>
      <c r="B8" s="8" t="inlineStr">
        <is>
          <t>Points &amp; scoring</t>
        </is>
      </c>
      <c r="C8" s="8" t="inlineStr">
        <is>
          <t>Tournament / Tasks</t>
        </is>
      </c>
      <c r="D8" s="8" t="inlineStr">
        <is>
          <t>Medium</t>
        </is>
      </c>
      <c r="E8" s="8" t="inlineStr">
        <is>
          <t>Conflicting logic</t>
        </is>
      </c>
      <c r="F8" s="8" t="inlineStr">
        <is>
          <t>No</t>
        </is>
      </c>
      <c r="G8" s="8" t="inlineStr">
        <is>
          <t>A tournament match converted to a ladder challenge is double-counted by the task engine</t>
        </is>
      </c>
      <c r="H8" s="8" t="inlineStr">
        <is>
          <t>ladderService.ts:156-162 confirmChallenge: when `source === 'tournament'` it adds only the ±3 and deliberately does NOT re-count matchesPlayed/wins — 'counting again would double the same match'.</t>
        </is>
      </c>
      <c r="I8" s="8" t="inlineStr">
        <is>
          <t>functions/taskPoints.js:197-213 onLadderConfirmedAwardPoints awards source:'ladder' (challengesPlayed, streak, months) for EVERY confirmed challenge — no check of `source` — so the same physical match already counted as a tournament match by onMatchCompletedAwardPoints is counted a second time as a challenge.</t>
        </is>
      </c>
      <c r="J8" s="8" t="inlineStr">
        <is>
          <t>Client engine dedupes the conversion; server engine doesn't.</t>
        </is>
      </c>
      <c r="K8" s="8" t="inlineStr">
        <is>
          <t>Converted matches inflate challengesPlayed/challengesWon and streaks (tier points are spendable).</t>
        </is>
      </c>
      <c r="L8" s="8" t="inlineStr">
        <is>
          <t>In onLadderConfirmedAwardPoints skip (or count differently) when after.source === 'tournament'.</t>
        </is>
      </c>
      <c r="M8" s="8" t="inlineStr">
        <is>
          <t>src/features/leagues/ladderService.ts:156-162; functions/taskPoints.js:197-213</t>
        </is>
      </c>
      <c r="N8" s="8" t="inlineStr">
        <is>
          <t>Read both</t>
        </is>
      </c>
    </row>
    <row r="9" ht="150" customHeight="1">
      <c r="A9" s="8" t="inlineStr">
        <is>
          <t>C-08</t>
        </is>
      </c>
      <c r="B9" s="8" t="inlineStr">
        <is>
          <t>Points &amp; scoring</t>
        </is>
      </c>
      <c r="C9" s="8" t="inlineStr">
        <is>
          <t>Tournament (RR)</t>
        </is>
      </c>
      <c r="D9" s="8" t="inlineStr">
        <is>
          <t>Low</t>
        </is>
      </c>
      <c r="E9" s="8" t="inlineStr">
        <is>
          <t>Multiple logics on one thing</t>
        </is>
      </c>
      <c r="F9" s="8" t="inlineStr">
        <is>
          <t>No</t>
        </is>
      </c>
      <c r="G9" s="8" t="inlineStr">
        <is>
          <t>RR group card mixes lifetime stats with group-scoped results</t>
        </is>
      </c>
      <c r="H9" s="8" t="inlineStr">
        <is>
          <t>RRGroupCard.tsx:262 'MP' column and P/G% come from statsByUid (lifetime stats.matchesPlayed / pointswon — every source incl. ladder &amp; friendlies).</t>
        </is>
      </c>
      <c r="I9" s="8" t="inlineStr">
        <is>
          <t>The same table's W/L/points columns come from computeGroupStandings — this group's matches only (rrGeneration.ts:266-320).</t>
        </is>
      </c>
      <c r="J9" s="8" t="inlineStr">
        <is>
          <t>One row shows two different scopes without saying so.</t>
        </is>
      </c>
      <c r="K9" s="8" t="inlineStr">
        <is>
          <t>Members read 'MP 14' beside 'W 2 L 1' and assume group scope.</t>
        </is>
      </c>
      <c r="L9" s="8" t="inlineStr">
        <is>
          <t>Label the lifetime columns ('Career MP') or drop them from the group table.</t>
        </is>
      </c>
      <c r="M9" s="8" t="inlineStr">
        <is>
          <t>src/pages/tournament/RRGroupCard.tsx:36,262; src/pages/tournament/rrGeneration.ts:266-320</t>
        </is>
      </c>
      <c r="N9" s="8" t="inlineStr">
        <is>
          <t>Read RRGroupCard props</t>
        </is>
      </c>
    </row>
    <row r="10" ht="150" customHeight="1">
      <c r="A10" s="8" t="inlineStr">
        <is>
          <t>C-09</t>
        </is>
      </c>
      <c r="B10" s="8" t="inlineStr">
        <is>
          <t>Skill bands &amp; divisions</t>
        </is>
      </c>
      <c r="C10" s="8" t="inlineStr">
        <is>
          <t>Profile / Sign up / Matches</t>
        </is>
      </c>
      <c r="D10" s="8" t="inlineStr">
        <is>
          <t>Medium</t>
        </is>
      </c>
      <c r="E10" s="8" t="inlineStr">
        <is>
          <t>Conflicting logic</t>
        </is>
      </c>
      <c r="F10" s="8" t="inlineStr">
        <is>
          <t>No</t>
        </is>
      </c>
      <c r="G10" s="8" t="inlineStr">
        <is>
          <t>Four skill-band label sets: 'Beginners' vs 'Beginner', 'Challengers' vs 'Challenger'</t>
        </is>
      </c>
      <c r="H10" s="8" t="inlineStr">
        <is>
          <t>utils.ts:287 skillBand() → 'Beginners' | 'Challengers' | 'Masters' (used by draws, Signup, Profile, Matches, OpponentPanels).</t>
        </is>
      </c>
      <c r="I10" s="8" t="inlineStr">
        <is>
          <t>skillLevels.ts:19 skillTier() → 'Beginner' | 'Challenger' | 'Masters' (PlayerProfile.tsx:259, ProfileInfo.tsx:511 badge); SKILL_LEVEL_TIERS labels 'Beginner'/'Challengers'/'Masters' (mixed, CompleteProfileModal); TOURNAMENT_OPTIONS names plural.</t>
        </is>
      </c>
      <c r="J10" s="8" t="inlineStr">
        <is>
          <t>Same thresholds (&lt;3, &lt;4), four different strings for the same band.</t>
        </is>
      </c>
      <c r="K10" s="8" t="inlineStr">
        <is>
          <t>A member's badge reads 'Challenger' on their profile and 'Challengers' everywhere else; any string comparison against the wrong variant silently fails.</t>
        </is>
      </c>
      <c r="L10" s="8" t="inlineStr">
        <is>
          <t>Delete skillTier and SKILL_LEVEL_TIERS' own labels; derive every label from one constant next to skillBand.</t>
        </is>
      </c>
      <c r="M10" s="8" t="inlineStr">
        <is>
          <t>src/pages/tournament/utils.ts:287; src/utils/skillLevels.ts:7-19; src/pages/PlayerProfile.tsx:259; src/features/profile/components/ProfileInfo.tsx:511</t>
        </is>
      </c>
      <c r="N10" s="8" t="inlineStr">
        <is>
          <t>grep skillTier|skillBand</t>
        </is>
      </c>
    </row>
    <row r="11" ht="150" customHeight="1">
      <c r="A11" s="8" t="inlineStr">
        <is>
          <t>C-10</t>
        </is>
      </c>
      <c r="B11" s="8" t="inlineStr">
        <is>
          <t>Skill bands &amp; divisions</t>
        </is>
      </c>
      <c r="C11" s="8" t="inlineStr">
        <is>
          <t>Events (Join)</t>
        </is>
      </c>
      <c r="D11" s="8" t="inlineStr">
        <is>
          <t>Medium</t>
        </is>
      </c>
      <c r="E11" s="8" t="inlineStr">
        <is>
          <t>Conflicting logic</t>
        </is>
      </c>
      <c r="F11" s="8" t="inlineStr">
        <is>
          <t>No</t>
        </is>
      </c>
      <c r="G11" s="8" t="inlineStr">
        <is>
          <t>Join-time slot search uses a fifth skill mapping that has no Beginners band</t>
        </is>
      </c>
      <c r="H11" s="8" t="inlineStr">
        <is>
          <t>useJoin.ts:114-115 `intendedGroup = skill &gt;= 4 ? 'Masters' : 'Challengers'` (alt = the other) — a 2.0–2.5 player is searched in Challengers.</t>
        </is>
      </c>
      <c r="I11" s="8" t="inlineStr">
        <is>
          <t>drawConfigs.ts:4-11 defines Men's/Women's BEGINNERS draws; utils.ts:450-452 filters participants into draws with skillBand() (&lt;3 → Beginners); rrGeneration buckets by skillBand.</t>
        </is>
      </c>
      <c r="J11" s="8" t="inlineStr">
        <is>
          <t>The join gate looks for slots in a band the draw engine will not place the player in.</t>
        </is>
      </c>
      <c r="K11" s="8" t="inlineStr">
        <is>
          <t>A beginner can be told the event is 'full' while the Beginners draw has room, or be seated (by an organizer self-join) into a Challengers slot they'd be filtered out of.</t>
        </is>
      </c>
      <c r="L11" s="8" t="inlineStr">
        <is>
          <t>Use skillBand() in useJoin and search the Beginners draw first for &lt;3.</t>
        </is>
      </c>
      <c r="M11" s="8" t="inlineStr">
        <is>
          <t>src/features/events/hooks/useJoin.ts:107-116; src/pages/tournament/drawConfigs.ts:4-11; src/pages/tournament/utils.ts:450-452</t>
        </is>
      </c>
      <c r="N11" s="8" t="inlineStr">
        <is>
          <t>Read useJoin.slotStatus</t>
        </is>
      </c>
    </row>
    <row r="12" ht="150" customHeight="1">
      <c r="A12" s="8" t="inlineStr">
        <is>
          <t>C-11</t>
        </is>
      </c>
      <c r="B12" s="8" t="inlineStr">
        <is>
          <t>Skill bands &amp; divisions</t>
        </is>
      </c>
      <c r="C12" s="8" t="inlineStr">
        <is>
          <t>Leagues / Cloud Functions</t>
        </is>
      </c>
      <c r="D12" s="8" t="inlineStr">
        <is>
          <t>Medium</t>
        </is>
      </c>
      <c r="E12" s="8" t="inlineStr">
        <is>
          <t>Duplicate logic (drifted)</t>
        </is>
      </c>
      <c r="F12" s="8" t="inlineStr">
        <is>
          <t>No</t>
        </is>
      </c>
      <c r="G12" s="8" t="inlineStr">
        <is>
          <t>Division-from-league parsed three ways, with overlapping buckets</t>
        </is>
      </c>
      <c r="H12" s="8" t="inlineStr">
        <is>
          <t>skillLevels.ts:23 leagueDivision(): Women's if 'wom'/'female', Men's if 'men'/'male', else '' — no Doubles at all.</t>
        </is>
      </c>
      <c r="I12" s="8" t="inlineStr">
        <is>
          <t>useStandings.ts:35-41 inDivision(): mens = ('men'|'male') AND NOT women; womens = 'wom'|'female'; doubles = 'double'|'mixed'. Mirrored verbatim in functions/rankSnapshot.js:19-27 ('keep in sync').</t>
        </is>
      </c>
      <c r="J12" s="8" t="inlineStr">
        <is>
          <t>'Women's Doubles' satisfies womens AND doubles; 'Men's Doubles' satisfies mens AND doubles; leagueDivision returns '' for any doubles league.</t>
        </is>
      </c>
      <c r="K12" s="8" t="inlineStr">
        <is>
          <t>rankSnapshot ranks such a player in two tabs and writes ONE rankPosition (last tab wins); Profile league selector shows blank for doubles leagues.</t>
        </is>
      </c>
      <c r="L12" s="8" t="inlineStr">
        <is>
          <t>One exported parser used by client and (via mirror test) server; make the buckets mutually exclusive.</t>
        </is>
      </c>
      <c r="M12" s="8" t="inlineStr">
        <is>
          <t>src/utils/skillLevels.ts:23-28; src/features/leagues/useStandings.ts:35-41; functions/rankSnapshot.js:19-27</t>
        </is>
      </c>
      <c r="N12" s="8" t="inlineStr">
        <is>
          <t>Read all three</t>
        </is>
      </c>
    </row>
    <row r="13" ht="150" customHeight="1">
      <c r="A13" s="8" t="inlineStr">
        <is>
          <t>C-12</t>
        </is>
      </c>
      <c r="B13" s="8" t="inlineStr">
        <is>
          <t>Skill bands &amp; divisions</t>
        </is>
      </c>
      <c r="C13" s="8" t="inlineStr">
        <is>
          <t>Tournament / Leagues / Profile</t>
        </is>
      </c>
      <c r="D13" s="8" t="inlineStr">
        <is>
          <t>High</t>
        </is>
      </c>
      <c r="E13" s="8" t="inlineStr">
        <is>
          <t>Field with two meanings</t>
        </is>
      </c>
      <c r="F13" s="8" t="inlineStr">
        <is>
          <t>No</t>
        </is>
      </c>
      <c r="G13" s="8" t="inlineStr">
        <is>
          <t>stats.league is overwritten by every scored match — profile league vs 'division of last match'</t>
        </is>
      </c>
      <c r="H13" s="8" t="inlineStr">
        <is>
          <t>profileService.ts:89-99 updateLeagueAndAgeCategory writes the member's declared league, e.g. "Men's Retired Pro"; Signup.tsx:357-358 the same. Leagues/rankSnapshot split members into tabs on this string.</t>
        </is>
      </c>
      <c r="I13" s="8" t="inlineStr">
        <is>
          <t>useTournament.ts:1251-1253 (no-show) and 1283/1313/1326 write `league: matchLeague` where matchLeague = 'Doubles' for a doubles match else match.division — on every score confirmation, and reverse paths keep it.</t>
        </is>
      </c>
      <c r="J13" s="8" t="inlineStr">
        <is>
          <t>Two writers, two meanings, one field.</t>
        </is>
      </c>
      <c r="K13" s="8" t="inlineStr">
        <is>
          <t>The 'Retired Pro' suffix is erased by the first scored match; a member's first doubles result moves them (and ALL their leaguePoints26) from the Men's/Women's leaderboard to the Doubles tab until the next singles match flips them back.</t>
        </is>
      </c>
      <c r="L13" s="8" t="inlineStr">
        <is>
          <t>Stop writing league from scoring; if 'last division played' is needed, put it in its own field.</t>
        </is>
      </c>
      <c r="M13" s="8" t="inlineStr">
        <is>
          <t>src/features/profile/services/profileService.ts:89-99; src/pages/Signup.tsx:357; src/pages/tournament/useTournament.ts:1251,1283,1313,1326; src/features/leagues/useStandings.ts:35</t>
        </is>
      </c>
      <c r="N13" s="8" t="inlineStr">
        <is>
          <t>Read writers of stats.league</t>
        </is>
      </c>
    </row>
    <row r="14" ht="150" customHeight="1">
      <c r="A14" s="8" t="inlineStr">
        <is>
          <t>C-13</t>
        </is>
      </c>
      <c r="B14" s="8" t="inlineStr">
        <is>
          <t>Skill bands &amp; divisions</t>
        </is>
      </c>
      <c r="C14" s="8" t="inlineStr">
        <is>
          <t>Events / Tournament / Profile</t>
        </is>
      </c>
      <c r="D14" s="8" t="inlineStr">
        <is>
          <t>Low</t>
        </is>
      </c>
      <c r="E14" s="8" t="inlineStr">
        <is>
          <t>Field with two meanings</t>
        </is>
      </c>
      <c r="F14" s="8" t="inlineStr">
        <is>
          <t>No</t>
        </is>
      </c>
      <c r="G14" s="8" t="inlineStr">
        <is>
          <t>'Retired Pro' lives as a skill_group value AND as a league suffix</t>
        </is>
      </c>
      <c r="H14" s="8" t="inlineStr">
        <is>
          <t>event_participants.skill_group = 'Retired Pro' (useJoin.ts:110-112 seniors opt-in; useTournament.ts:1034 special-cases it before skillBand).</t>
        </is>
      </c>
      <c r="I14" s="8" t="inlineStr">
        <is>
          <t>stats.league carries it as an age-category suffix ("Men's Retired Pro", skillLevels.ts:33-39 isSeniorsLeague/leagueAgeCategory).</t>
        </is>
      </c>
      <c r="J14" s="8" t="inlineStr">
        <is>
          <t>The same eligibility fact is stored two ways and skillBand() can never return it.</t>
        </is>
      </c>
      <c r="K14" s="8" t="inlineStr">
        <is>
          <t>Draw routing and leaderboard grouping can disagree about whether someone is a senior.</t>
        </is>
      </c>
      <c r="L14" s="8" t="inlineStr">
        <is>
          <t>Pick one home (participant row is event-scoped; league is profile-scoped) and derive the other.</t>
        </is>
      </c>
      <c r="M14" s="8" t="inlineStr">
        <is>
          <t>src/features/events/hooks/useJoin.ts:110; src/pages/tournament/useTournament.ts:1034; src/utils/skillLevels.ts:33-39</t>
        </is>
      </c>
      <c r="N14" s="8" t="inlineStr">
        <is>
          <t>grep 'Retired Pro'</t>
        </is>
      </c>
    </row>
    <row r="15" ht="150" customHeight="1">
      <c r="A15" s="8" t="inlineStr">
        <is>
          <t>C-14</t>
        </is>
      </c>
      <c r="B15" s="8" t="inlineStr">
        <is>
          <t>Leaderboards &amp; rank</t>
        </is>
      </c>
      <c r="C15" s="8" t="inlineStr">
        <is>
          <t>Leagues / Matches / Cloud Functions</t>
        </is>
      </c>
      <c r="D15" s="8" t="inlineStr">
        <is>
          <t>Medium</t>
        </is>
      </c>
      <c r="E15" s="8" t="inlineStr">
        <is>
          <t>Conflicting logic</t>
        </is>
      </c>
      <c r="F15" s="8" t="inlineStr">
        <is>
          <t>No</t>
        </is>
      </c>
      <c r="G15" s="8" t="inlineStr">
        <is>
          <t>Rank tie-breaks differ between the displayed table and the weekly snapshot</t>
        </is>
      </c>
      <c r="H15" s="8" t="inlineStr">
        <is>
          <t>Leagues.tsx:96 and Matches.tsx:210 sort leaguePoints26 desc → matchesPlayed desc → name.</t>
        </is>
      </c>
      <c r="I15" s="8" t="inlineStr">
        <is>
          <t>functions/rankSnapshot.js:52 sorts by points only (ties keep Firestore read order) and writes rankPosition/rankTrend/rankMove that the table then displays as arrows.</t>
        </is>
      </c>
      <c r="J15" s="8" t="inlineStr">
        <is>
          <t>Two comparators for one ranking.</t>
        </is>
      </c>
      <c r="K15" s="8" t="inlineStr">
        <is>
          <t>Tied members can show 'up' arrows while sitting below the player they 'passed'; rankMove is noise for ties.</t>
        </is>
      </c>
      <c r="L15" s="8" t="inlineStr">
        <is>
          <t>Share the comparator (mirror + parity test) or compute position client-side from the same sort.</t>
        </is>
      </c>
      <c r="M15" s="8" t="inlineStr">
        <is>
          <t>src/pages/Leagues.tsx:96; src/pages/Matches.tsx:210; functions/rankSnapshot.js:50-60</t>
        </is>
      </c>
      <c r="N15" s="8" t="inlineStr">
        <is>
          <t>Read sorts</t>
        </is>
      </c>
    </row>
    <row r="16" ht="150" customHeight="1">
      <c r="A16" s="8" t="inlineStr">
        <is>
          <t>C-15</t>
        </is>
      </c>
      <c r="B16" s="8" t="inlineStr">
        <is>
          <t>Leaderboards &amp; rank</t>
        </is>
      </c>
      <c r="C16" s="8" t="inlineStr">
        <is>
          <t>Home / Leagues / Cloud Functions</t>
        </is>
      </c>
      <c r="D16" s="8" t="inlineStr">
        <is>
          <t>Medium</t>
        </is>
      </c>
      <c r="E16" s="8" t="inlineStr">
        <is>
          <t>Multiple logics on one thing</t>
        </is>
      </c>
      <c r="F16" s="8" t="inlineStr">
        <is>
          <t>No</t>
        </is>
      </c>
      <c r="G16" s="8" t="inlineStr">
        <is>
          <t>'Matches organized' and 'active players' each defined three ways (incl. a hidden +70)</t>
        </is>
      </c>
      <c r="H16" s="8" t="inlineStr">
        <is>
          <t>Home hero reads site_stats/summary written by rankSnapshot.js:63-67: matches_organized = completed singles+doubles COUNT + 70 (undocumented offset); active_players = distinct event_participants uid. Baseline before load: 100 / 170 (Home.tsx:77).</t>
        </is>
      </c>
      <c r="I16" s="8" t="inlineStr">
        <is>
          <t>useStandings.ts:66-67,91: matchesOrganized = Σ stats.matchesPlayed / 2 (includes walkovers, ladder, friendlies, and both doubles partners → a doubles match counts twice); activePlayers = stats with matchesPlayed &gt; 0. adminMetricsCompute.js:57 members_played_match = the same. scripts/snapshot-ranks.mjs:98 repeats the +70.</t>
        </is>
      </c>
      <c r="J16" s="8" t="inlineStr">
        <is>
          <t>Three definitions, one headline number.</t>
        </is>
      </c>
      <c r="K16" s="8" t="inlineStr">
        <is>
          <t>Public figures can differ from Leagues page figures; the +70 (presumably the 2025 pre-app season) is a magic number in two files.</t>
        </is>
      </c>
      <c r="L16" s="8" t="inlineStr">
        <is>
          <t>One definition, one writer (the function), one named constant HISTORICAL_MATCHES_2025 with a comment; delete the client aggregation.</t>
        </is>
      </c>
      <c r="M16" s="8" t="inlineStr">
        <is>
          <t>functions/rankSnapshot.js:63-67; scripts/snapshot-ranks.mjs:98; src/features/leagues/useStandings.ts:66-91; src/pages/Home.tsx:77,131-132; functions/lib/adminMetricsCompute.js:57</t>
        </is>
      </c>
      <c r="N16" s="8" t="inlineStr">
        <is>
          <t>grep matches_organized|matchesOrganized</t>
        </is>
      </c>
    </row>
    <row r="17" ht="150" customHeight="1">
      <c r="A17" s="8" t="inlineStr">
        <is>
          <t>C-16</t>
        </is>
      </c>
      <c r="B17" s="8" t="inlineStr">
        <is>
          <t>Leaderboards &amp; rank</t>
        </is>
      </c>
      <c r="C17" s="8" t="inlineStr">
        <is>
          <t>Cloud Functions / Home</t>
        </is>
      </c>
      <c r="D17" s="8" t="inlineStr">
        <is>
          <t>Medium</t>
        </is>
      </c>
      <c r="E17" s="8" t="inlineStr">
        <is>
          <t>Duplicate logic (drifted)</t>
        </is>
      </c>
      <c r="F17" s="8" t="inlineStr">
        <is>
          <t>No</t>
        </is>
      </c>
      <c r="G17" s="8" t="inlineStr">
        <is>
          <t>rankSnapshot.js and scripts/snapshot-ranks.mjs are 'kept in sync' but already write different keys</t>
        </is>
      </c>
      <c r="H17" s="8" t="inlineStr">
        <is>
          <t>functions/rankSnapshot.js:66-67 writes site_stats/summary as snake_case active_players / matches_organized / updated_at (comment: 'the lone camelCase holdout' was fixed).</t>
        </is>
      </c>
      <c r="I17" s="8" t="inlineStr">
        <is>
          <t>scripts/snapshot-ranks.mjs:98 writes the same doc as camelCase activePlayers / matchesOrganized / updatedAt. Home.tsx:131-132 reads snake_case only.</t>
        </is>
      </c>
      <c r="J17" s="8" t="inlineStr">
        <is>
          <t>The declared mirror has drifted on the very keys the landing page reads.</t>
        </is>
      </c>
      <c r="K17" s="8" t="inlineStr">
        <is>
          <t>Running the manual script adds ignored camelCase keys and does not refresh what Home displays.</t>
        </is>
      </c>
      <c r="L17" s="8" t="inlineStr">
        <is>
          <t>Delete the script or make it import the function's module; add the parity test the header promises.</t>
        </is>
      </c>
      <c r="M17" s="8" t="inlineStr">
        <is>
          <t>functions/rankSnapshot.js:1-4,66-67; scripts/snapshot-ranks.mjs:98; src/pages/Home.tsx:131</t>
        </is>
      </c>
      <c r="N17" s="8" t="inlineStr">
        <is>
          <t>Read both writers</t>
        </is>
      </c>
    </row>
    <row r="18" ht="150" customHeight="1">
      <c r="A18" s="8" t="inlineStr">
        <is>
          <t>C-17</t>
        </is>
      </c>
      <c r="B18" s="8" t="inlineStr">
        <is>
          <t>Tournament advancement</t>
        </is>
      </c>
      <c r="C18" s="8" t="inlineStr">
        <is>
          <t>Tournament</t>
        </is>
      </c>
      <c r="D18" s="8" t="inlineStr">
        <is>
          <t>Medium</t>
        </is>
      </c>
      <c r="E18" s="8" t="inlineStr">
        <is>
          <t>Duplicate logic (in sync)</t>
        </is>
      </c>
      <c r="F18" s="8" t="inlineStr">
        <is>
          <t>No</t>
        </is>
      </c>
      <c r="G18" s="8" t="inlineStr">
        <is>
          <t>'Which slot of the next match do I feed' is inferred in four places</t>
        </is>
      </c>
      <c r="H18" s="8" t="inlineStr">
        <is>
          <t>utils.ts:362-365 assigns next_slot at template build via nextSlotCounts; useTournament.ts:1200-1228 generateDraw bye-advance re-derives nextSlot from sibling ordering.</t>
        </is>
      </c>
      <c r="I18" s="8" t="inlineStr">
        <is>
          <t>rrGeneration.ts:374-411 buildRRKnockoutDocs re-derives it again for baked bye advancement; useTournament.ts:1417-1450 live winner advancement re-derives it ('inferred from sibling ordering (legacy docs)'); useTournament.ts:1829-1840 un-advance on reset repeats the draw-matching.</t>
        </is>
      </c>
      <c r="J18" s="8" t="inlineStr">
        <is>
          <t>Four copies of one inference; each must agree on sibling order and draw identity (bracket, zone).</t>
        </is>
      </c>
      <c r="K18" s="8" t="inlineStr">
        <is>
          <t>A divergence writes a winner over a real player's slot in the next round — the exact class of bug fixed four times in May–June.</t>
        </is>
      </c>
      <c r="L18" s="8" t="inlineStr">
        <is>
          <t>One resolveNextSlot(match, siblings) helper used by all four; store next_slot always so inference is never needed.</t>
        </is>
      </c>
      <c r="M18" s="8" t="inlineStr">
        <is>
          <t>src/pages/tournament/utils.ts:362-365; useTournament.ts:1200-1228,1417-1450,1829-1840; rrGeneration.ts:374-411</t>
        </is>
      </c>
      <c r="N18" s="8" t="inlineStr">
        <is>
          <t>grep next_slot|advance</t>
        </is>
      </c>
    </row>
    <row r="19" ht="150" customHeight="1">
      <c r="A19" s="8" t="inlineStr">
        <is>
          <t>C-18</t>
        </is>
      </c>
      <c r="B19" s="8" t="inlineStr">
        <is>
          <t>Tournament advancement</t>
        </is>
      </c>
      <c r="C19" s="8" t="inlineStr">
        <is>
          <t>Tournament</t>
        </is>
      </c>
      <c r="D19" s="8" t="inlineStr">
        <is>
          <t>Medium</t>
        </is>
      </c>
      <c r="E19" s="8" t="inlineStr">
        <is>
          <t>Conflicting logic</t>
        </is>
      </c>
      <c r="F19" s="8" t="inlineStr">
        <is>
          <t>Yes</t>
        </is>
      </c>
      <c r="G19" s="8" t="inlineStr">
        <is>
          <t>Byes auto-advance in brackets but not in RR knockouts</t>
        </is>
      </c>
      <c r="H19" s="8" t="inlineStr">
        <is>
          <t>generateDraw (useTournament.ts:1200-1228) auto-advances any player facing an empty first-round slot.</t>
        </is>
      </c>
      <c r="I19" s="8" t="inlineStr">
        <is>
          <t>buildRRKnockoutDocs with manualFill:true (rrGeneration.ts:353-355, 374) SKIPS first-round bye auto-advancement so the creator can fill slots by hand.</t>
        </is>
      </c>
      <c r="J19" s="8" t="inlineStr">
        <is>
          <t>The same visual state (a BYE/loading opponent) means 'already advanced' in one draw type and 'not advanced' in the other.</t>
        </is>
      </c>
      <c r="K19" s="8" t="inlineStr">
        <is>
          <t>Organizer expectations differ per draw type; a later manual fill can desync round 2 in brackets (see C-20).</t>
        </is>
      </c>
      <c r="L19" s="8" t="inlineStr">
        <is>
          <t>Say it in the UI (badge on RR knockout R1) or unify by advancing on knockout generation once slots are filled.</t>
        </is>
      </c>
      <c r="M19" s="8" t="inlineStr">
        <is>
          <t>src/pages/tournament/useTournament.ts:1200-1228; src/pages/tournament/rrGeneration.ts:353-411</t>
        </is>
      </c>
      <c r="N19" s="8" t="inlineStr">
        <is>
          <t>Read both generators; Tournament_Logic_Report §1</t>
        </is>
      </c>
    </row>
    <row r="20" ht="150" customHeight="1">
      <c r="A20" s="8" t="inlineStr">
        <is>
          <t>C-19</t>
        </is>
      </c>
      <c r="B20" s="8" t="inlineStr">
        <is>
          <t>Tournament advancement</t>
        </is>
      </c>
      <c r="C20" s="8" t="inlineStr">
        <is>
          <t>Tournament</t>
        </is>
      </c>
      <c r="D20" s="8" t="inlineStr">
        <is>
          <t>Low</t>
        </is>
      </c>
      <c r="E20" s="8" t="inlineStr">
        <is>
          <t>Vestigial / dead config</t>
        </is>
      </c>
      <c r="F20" s="8" t="inlineStr">
        <is>
          <t>No</t>
        </is>
      </c>
      <c r="G20" s="8" t="inlineStr">
        <is>
          <t>RR advancementCount is stored on every match and highlighted, but nothing seats runners-up</t>
        </is>
      </c>
      <c r="H20" s="8" t="inlineStr">
        <is>
          <t>rrGeneration.ts:178-217 writes rr_advancement_count on every RR match; RRGroupCard.tsx:130 highlights `i &lt; advancementCount`; RoundRobinView/Tournament.tsx thread the prop.</t>
        </is>
      </c>
      <c r="I20" s="8" t="inlineStr">
        <is>
          <t>TournamentElements.tsx:540 always confirms advancementCount:1; selectGroupWinners takes only #1; CLAUDE.md: 'There is no automatic runner-up fill'.</t>
        </is>
      </c>
      <c r="J20" s="8" t="inlineStr">
        <is>
          <t>A configuration knob survives with no behaviour behind it.</t>
        </is>
      </c>
      <c r="K20" s="8" t="inlineStr">
        <is>
          <t>Suggests to the next developer that runners-up advance automatically.</t>
        </is>
      </c>
      <c r="L20" s="8" t="inlineStr">
        <is>
          <t>Remove the field, prop and highlight; or restore the behaviour deliberately.</t>
        </is>
      </c>
      <c r="M20" s="8" t="inlineStr">
        <is>
          <t>src/pages/tournament/rrGeneration.ts:178-217; RRGroupCard.tsx:130; TournamentElements.tsx:540</t>
        </is>
      </c>
      <c r="N20" s="8" t="inlineStr">
        <is>
          <t>grep advancementCount</t>
        </is>
      </c>
    </row>
    <row r="21" ht="150" customHeight="1">
      <c r="A21" s="8" t="inlineStr">
        <is>
          <t>C-20</t>
        </is>
      </c>
      <c r="B21" s="8" t="inlineStr">
        <is>
          <t>Draw placement</t>
        </is>
      </c>
      <c r="C21" s="8" t="inlineStr">
        <is>
          <t>Events (Join) / Tournament</t>
        </is>
      </c>
      <c r="D21" s="8" t="inlineStr">
        <is>
          <t>Medium</t>
        </is>
      </c>
      <c r="E21" s="8" t="inlineStr">
        <is>
          <t>Conflicting logic</t>
        </is>
      </c>
      <c r="F21" s="8" t="inlineStr">
        <is>
          <t>No</t>
        </is>
      </c>
      <c r="G21" s="8" t="inlineStr">
        <is>
          <t>'Empty slot' is defined differently by the join flow and the organizer seat picker</t>
        </is>
      </c>
      <c r="H21" s="8" t="inlineStr">
        <is>
          <t>useJoin.ts:84 isOpenSlot(name) = PLAYER_LOADING OR BYE — a BYE slot counts as available for registration/seating.</t>
        </is>
      </c>
      <c r="I21" s="8" t="inlineStr">
        <is>
          <t>useTournament.ts:1091-1095 openDrawSlots free(name) = empty OR PLAYER_LOADING — BYE 'deliberately NOT offered: its opponent has already been advanced past it, so filling one silently desyncs the next round'. Also: utils.ts:124 uses uid-or-PLAYER_LOADING; BracketView.tsx:12 isPlaceholder(name); zoneMoves.js:97 vacates as uid '' + name PLAYER_LOADING; rrGeneration.ts:271 uses uid truthiness.</t>
        </is>
      </c>
      <c r="J21" s="8" t="inlineStr">
        <is>
          <t>Six predicates for 'is this seat empty', and the two that gate seating disagree on BYE.</t>
        </is>
      </c>
      <c r="K21" s="8" t="inlineStr">
        <is>
          <t>An organizer joining their own event is seated into a BYE slot whose opponent is already in round 2; slotStatus reports 'available' for seats the picker refuses.</t>
        </is>
      </c>
      <c r="L21" s="8" t="inlineStr">
        <is>
          <t>One slotState(match, side) → 'real' | 'loading' | 'bye' | 'empty' helper; join flow excludes 'bye'.</t>
        </is>
      </c>
      <c r="M21" s="8" t="inlineStr">
        <is>
          <t>src/features/events/hooks/useJoin.ts:84-105; src/pages/tournament/useTournament.ts:1091-1108; utils.ts:120-125; BracketView.tsx:12; functions/zoneMoves.js:97</t>
        </is>
      </c>
      <c r="N21" s="8" t="inlineStr">
        <is>
          <t>Read both predicates</t>
        </is>
      </c>
    </row>
    <row r="22" ht="150" customHeight="1">
      <c r="A22" s="8" t="inlineStr">
        <is>
          <t>C-21</t>
        </is>
      </c>
      <c r="B22" s="8" t="inlineStr">
        <is>
          <t>Draw placement</t>
        </is>
      </c>
      <c r="C22" s="8" t="inlineStr">
        <is>
          <t>Events (Join)</t>
        </is>
      </c>
      <c r="D22" s="8" t="inlineStr">
        <is>
          <t>Medium</t>
        </is>
      </c>
      <c r="E22" s="8" t="inlineStr">
        <is>
          <t>Rules vs code</t>
        </is>
      </c>
      <c r="F22" s="8" t="inlineStr">
        <is>
          <t>Yes</t>
        </is>
      </c>
      <c r="G22" s="8" t="inlineStr">
        <is>
          <t>The join flow gates on a slot search whose outcome (seating) rules deny for players</t>
        </is>
      </c>
      <c r="H22" s="8" t="inlineStr">
        <is>
          <t>useJoin.ts:76-116 computes slotStatus 'available'/'full' per skill group and blocks joining when full; :240-253 then tries updateDoc on the match slot, caught 'best-effort' because 'seating a player into a match slot is organizer-only (Firestore rules)'.</t>
        </is>
      </c>
      <c r="I22" s="8" t="inlineStr">
        <is>
          <t>firestore.rules:246-331 matches update for a non-creator allows only rally/challenge transitions, result reporting and the five scheduling keys — player_1_name/uid writes are always denied. useTournament.ts:1110-1111: 'what the join flow tries and is denied by rules for everyone but the organizer… which is why late joiners pile up'.</t>
        </is>
      </c>
      <c r="J22" s="8" t="inlineStr">
        <is>
          <t>A registration gate is enforced by a computation whose only consequence can never happen for the person it gates.</t>
        </is>
      </c>
      <c r="K22" s="8" t="inlineStr">
        <is>
          <t>Members are refused for 'full' draws they could never have been seated into anyway; organizers must place everyone by hand regardless.</t>
        </is>
      </c>
      <c r="L22" s="8" t="inlineStr">
        <is>
          <t>Either make seating a callable (organizer policy preserved server-side) or drop the knockout slot gate the way RR already did.</t>
        </is>
      </c>
      <c r="M22" s="8" t="inlineStr">
        <is>
          <t>src/features/events/hooks/useJoin.ts:76-116,237-253; firestore.rules:246-331; src/pages/tournament/useTournament.ts:1110-1111</t>
        </is>
      </c>
      <c r="N22" s="8" t="inlineStr">
        <is>
          <t>Read useJoin + rules block</t>
        </is>
      </c>
    </row>
    <row r="23" ht="150" customHeight="1">
      <c r="A23" s="8" t="inlineStr">
        <is>
          <t>C-22</t>
        </is>
      </c>
      <c r="B23" s="8" t="inlineStr">
        <is>
          <t>Draw placement</t>
        </is>
      </c>
      <c r="C23" s="8" t="inlineStr">
        <is>
          <t>Tournament</t>
        </is>
      </c>
      <c r="D23" s="8" t="inlineStr">
        <is>
          <t>Medium</t>
        </is>
      </c>
      <c r="E23" s="8" t="inlineStr">
        <is>
          <t>Multiple logics on one thing</t>
        </is>
      </c>
      <c r="F23" s="8" t="inlineStr">
        <is>
          <t>No</t>
        </is>
      </c>
      <c r="G23" s="8" t="inlineStr">
        <is>
          <t>Bracket and RR implement the same four verbs (generate/add/move/remove) differently</t>
        </is>
      </c>
      <c r="H23" s="8" t="inlineStr">
        <is>
          <t>Bracket: generateDraw orders alphabetically, silently drops overflow past drawsize, auto-advances byes; handleEditPlayer creates the missing event_participants row and has NO duplicate-placement guard; remove = set BYE.</t>
        </is>
      </c>
      <c r="I23" s="8" t="inlineStr">
        <is>
          <t>RR: handleGenerateRR deletes stale rr docs first; handleSaveGroupEdit/handleCreateRRGroup reconcile source+target atomically but do NOT create the participant row; remove = PLAYER_LOADING placeholder; played-match protection differs (moving out refused, removing allowed, knockout rebuild refused entirely).</t>
        </is>
      </c>
      <c r="J23" s="8" t="inlineStr">
        <is>
          <t>Two parallel implementations sharing only the matches collection — see Tournament_Logic_Report.md §1–3.6.</t>
        </is>
      </c>
      <c r="K23" s="8" t="inlineStr">
        <is>
          <t>A player can be seated twice in a bracket; an RR-placed player can be invisible to engagement reports.</t>
        </is>
      </c>
      <c r="L23" s="8" t="inlineStr">
        <is>
          <t>Extract a shared placement module (ensureParticipant, seat, unseat with played-guard) used by both.</t>
        </is>
      </c>
      <c r="M23" s="8" t="inlineStr">
        <is>
          <t>src/pages/tournament/useTournament.ts:1162,1607,1873,1932,2010,2051,2219; Tournament_Logic_Report.md</t>
        </is>
      </c>
      <c r="N23" s="8" t="inlineStr">
        <is>
          <t>Tournament_Logic_Report §3 re-checked against current function list; auto-placer paths since removed</t>
        </is>
      </c>
    </row>
    <row r="24" ht="150" customHeight="1">
      <c r="A24" s="8" t="inlineStr">
        <is>
          <t>C-23</t>
        </is>
      </c>
      <c r="B24" s="8" t="inlineStr">
        <is>
          <t>Draw placement</t>
        </is>
      </c>
      <c r="C24" s="8" t="inlineStr">
        <is>
          <t>Tournament</t>
        </is>
      </c>
      <c r="D24" s="8" t="inlineStr">
        <is>
          <t>Low</t>
        </is>
      </c>
      <c r="E24" s="8" t="inlineStr">
        <is>
          <t>Duplicate logic (in sync)</t>
        </is>
      </c>
      <c r="F24" s="8" t="inlineStr">
        <is>
          <t>Yes</t>
        </is>
      </c>
      <c r="G24" s="8" t="inlineStr">
        <is>
          <t>Two draw-size functions, one with a dead parameter</t>
        </is>
      </c>
      <c r="H24" s="8" t="inlineStr">
        <is>
          <t>utils.ts:304 getDrawSize(count, _tournamentChoice) → 8/16/32; the second parameter is ignored (CLAUDE.md: singles and doubles scale alike).</t>
        </is>
      </c>
      <c r="I24" s="8" t="inlineStr">
        <is>
          <t>rrGeneration.ts:323 nextPow2(x) → power of two, min 2, cap 32 for RR knockouts (R4/R8/R16 chosen by the creator).</t>
        </is>
      </c>
      <c r="J24" s="8" t="inlineStr">
        <is>
          <t>Two sizing rules by design; the unused parameter invites a future 'fix'.</t>
        </is>
      </c>
      <c r="K24" s="8" t="inlineStr">
        <is>
          <t>Low.</t>
        </is>
      </c>
      <c r="L24" s="8" t="inlineStr">
        <is>
          <t>Drop the unused parameter; comment that RR knockout sizing is creator-chosen.</t>
        </is>
      </c>
      <c r="M24" s="8" t="inlineStr">
        <is>
          <t>src/pages/tournament/utils.ts:304-308; src/pages/tournament/rrGeneration.ts:323</t>
        </is>
      </c>
      <c r="N24" s="8" t="inlineStr">
        <is>
          <t>Read both</t>
        </is>
      </c>
    </row>
    <row r="25" ht="150" customHeight="1">
      <c r="A25" s="8" t="inlineStr">
        <is>
          <t>C-24</t>
        </is>
      </c>
      <c r="B25" s="8" t="inlineStr">
        <is>
          <t>Zones</t>
        </is>
      </c>
      <c r="C25" s="8" t="inlineStr">
        <is>
          <t>Profile / Tournament / Cloud Functions</t>
        </is>
      </c>
      <c r="D25" s="8" t="inlineStr">
        <is>
          <t>Low</t>
        </is>
      </c>
      <c r="E25" s="8" t="inlineStr">
        <is>
          <t>Duplicate logic (in sync)</t>
        </is>
      </c>
      <c r="F25" s="8" t="inlineStr">
        <is>
          <t>Yes</t>
        </is>
      </c>
      <c r="G25" s="8" t="inlineStr">
        <is>
          <t>Zone helpers duplicated in functions/zoneMoves.js</t>
        </is>
      </c>
      <c r="H25" s="8" t="inlineStr">
        <is>
          <t>src/pages/tournament/utils.ts: PLAYER_LOADING, DEFAULT_ZONE, zoneBucketId, effectiveZone, resolveMergedZone.</t>
        </is>
      </c>
      <c r="I25" s="8" t="inlineStr">
        <is>
          <t>functions/zoneMoves.js:30-44 re-declares all five ('MIRRORS src/pages/tournament/utils.ts… have to be changed together').</t>
        </is>
      </c>
      <c r="J25" s="8" t="inlineStr">
        <is>
          <t>Identical today; no test guards it.</t>
        </is>
      </c>
      <c r="K25" s="8" t="inlineStr">
        <is>
          <t>A renamed default zone or bucket format silently stops zone moves vacating seats.</t>
        </is>
      </c>
      <c r="L25" s="8" t="inlineStr">
        <is>
          <t>Add a parity script to `npm run lint` (Node can import both).</t>
        </is>
      </c>
      <c r="M25" s="8" t="inlineStr">
        <is>
          <t>src/pages/tournament/utils.ts:194-202; functions/zoneMoves.js:30-44</t>
        </is>
      </c>
      <c r="N25" s="8" t="inlineStr">
        <is>
          <t>Read both</t>
        </is>
      </c>
    </row>
    <row r="26" ht="150" customHeight="1">
      <c r="A26" s="8" t="inlineStr">
        <is>
          <t>C-25</t>
        </is>
      </c>
      <c r="B26" s="8" t="inlineStr">
        <is>
          <t>Zones</t>
        </is>
      </c>
      <c r="C26" s="8" t="inlineStr">
        <is>
          <t>Tournament / Profile</t>
        </is>
      </c>
      <c r="D26" s="8" t="inlineStr">
        <is>
          <t>Low</t>
        </is>
      </c>
      <c r="E26" s="8" t="inlineStr">
        <is>
          <t>Multiple logics on one thing</t>
        </is>
      </c>
      <c r="F26" s="8" t="inlineStr">
        <is>
          <t>Yes</t>
        </is>
      </c>
      <c r="G26" s="8" t="inlineStr">
        <is>
          <t>Two zone-change paths with different effects (documented, but the rules still carry the legacy pair)</t>
        </is>
      </c>
      <c r="H26" s="8" t="inlineStr">
        <is>
          <t>Tournament page 'Request Zone Change' → event_participants.req_zone_change/new_zone, notify-only.</t>
        </is>
      </c>
      <c r="I26" s="8" t="inlineStr">
        <is>
          <t>Profile Zone section → preferences.preferred_zone → onZoneChanged vacates live seats. firestore.rules:229-233 still whitelists legacy zone_change_requested/_at 'until the new hosting build is out'.</t>
        </is>
      </c>
      <c r="J26" s="8" t="inlineStr">
        <is>
          <t>Deliberate divergence + a deploy-order leftover.</t>
        </is>
      </c>
      <c r="K26" s="8" t="inlineStr">
        <is>
          <t>Members may not realise which path moves them; legacy names linger.</t>
        </is>
      </c>
      <c r="L26" s="8" t="inlineStr">
        <is>
          <t>Keep both, name them differently in the UI; drop the legacy names from the whitelist after deploy.</t>
        </is>
      </c>
      <c r="M26" s="8" t="inlineStr">
        <is>
          <t>firestore.rules:226-233; functions/zoneMoves.js; CLAUDE.md §One name per thing</t>
        </is>
      </c>
      <c r="N26" s="8" t="inlineStr">
        <is>
          <t>CLAUDE.md + rules</t>
        </is>
      </c>
    </row>
    <row r="27" ht="150" customHeight="1">
      <c r="A27" s="8" t="inlineStr">
        <is>
          <t>C-26</t>
        </is>
      </c>
      <c r="B27" s="8" t="inlineStr">
        <is>
          <t>Contacts &amp; privacy</t>
        </is>
      </c>
      <c r="C27" s="8" t="inlineStr">
        <is>
          <t>Matches / Marketplace / Cloud Functions</t>
        </is>
      </c>
      <c r="D27" s="8" t="inlineStr">
        <is>
          <t>Low</t>
        </is>
      </c>
      <c r="E27" s="8" t="inlineStr">
        <is>
          <t>Duplicate logic (in sync)</t>
        </is>
      </c>
      <c r="F27" s="8" t="inlineStr">
        <is>
          <t>Yes</t>
        </is>
      </c>
      <c r="G27" s="8" t="inlineStr">
        <is>
          <t>pairId() exists in firestore.rules and functions/connections.js</t>
        </is>
      </c>
      <c r="H27" s="8" t="inlineStr">
        <is>
          <t>firestore.rules:54-56 `a &lt; b ? a+'__'+b : b+'__'+a`.</t>
        </is>
      </c>
      <c r="I27" s="8" t="inlineStr">
        <is>
          <t>functions/connections.js:23 identical expression.</t>
        </is>
      </c>
      <c r="J27" s="8" t="inlineStr">
        <is>
          <t>Cross-language duplicate that cannot share code — in sync as of this audit.</t>
        </is>
      </c>
      <c r="K27" s="8" t="inlineStr">
        <is>
          <t>If they ever disagree every contacts read in the app fails.</t>
        </is>
      </c>
      <c r="L27" s="8" t="inlineStr">
        <is>
          <t>Parity test in CI that computes both for a fixed pair (rules via emulator or string compare of the two source lines).</t>
        </is>
      </c>
      <c r="M27" s="8" t="inlineStr">
        <is>
          <t>firestore.rules:52-56; functions/connections.js:22-23</t>
        </is>
      </c>
      <c r="N27" s="8" t="inlineStr">
        <is>
          <t>Read both</t>
        </is>
      </c>
    </row>
    <row r="28" ht="150" customHeight="1">
      <c r="A28" s="8" t="inlineStr">
        <is>
          <t>C-27</t>
        </is>
      </c>
      <c r="B28" s="8" t="inlineStr">
        <is>
          <t>Security rules vs code</t>
        </is>
      </c>
      <c r="C28" s="8" t="inlineStr">
        <is>
          <t>Matches / Cloud Functions</t>
        </is>
      </c>
      <c r="D28" s="8" t="inlineStr">
        <is>
          <t>Low</t>
        </is>
      </c>
      <c r="E28" s="8" t="inlineStr">
        <is>
          <t>Duplicate logic (in sync)</t>
        </is>
      </c>
      <c r="F28" s="8" t="inlineStr">
        <is>
          <t>Yes</t>
        </is>
      </c>
      <c r="G28" s="8" t="inlineStr">
        <is>
          <t>Legacy claimed_winner_*/score_line still accepted by rules and read by four functions</t>
        </is>
      </c>
      <c r="H28" s="8" t="inlineStr">
        <is>
          <t>firestore.rules:284-303 whitelist the legacy trio 'until the hosting build that stopped writing them is out'.</t>
        </is>
      </c>
      <c r="I28" s="8" t="inlineStr">
        <is>
          <t>functions/notifications.js:151,387; friendlyPoints.js:39; taskPoints.js:209 read `winner_uid || claimed_winner_uid`.</t>
        </is>
      </c>
      <c r="J28" s="8" t="inlineStr">
        <is>
          <t>One deprecation spread across five files with no owner.</t>
        </is>
      </c>
      <c r="K28" s="8" t="inlineStr">
        <is>
          <t>Stripping requires a coordinated five-file change or points silently stop being paid.</t>
        </is>
      </c>
      <c r="L28" s="8" t="inlineStr">
        <is>
          <t>Track it as one ticket; remove all five together after confirming no docs still carry the old names.</t>
        </is>
      </c>
      <c r="M28" s="8" t="inlineStr">
        <is>
          <t>firestore.rules:284-303; functions/notifications.js:151,387; functions/friendlyPoints.js:39; functions/taskPoints.js:209</t>
        </is>
      </c>
      <c r="N28" s="8" t="inlineStr">
        <is>
          <t>grep claimed_winner</t>
        </is>
      </c>
    </row>
    <row r="29" ht="150" customHeight="1">
      <c r="A29" s="8" t="inlineStr">
        <is>
          <t>C-28</t>
        </is>
      </c>
      <c r="B29" s="8" t="inlineStr">
        <is>
          <t>Security rules vs code</t>
        </is>
      </c>
      <c r="C29" s="8" t="inlineStr">
        <is>
          <t>Sign up / Profile</t>
        </is>
      </c>
      <c r="D29" s="8" t="inlineStr">
        <is>
          <t>Low</t>
        </is>
      </c>
      <c r="E29" s="8" t="inlineStr">
        <is>
          <t>Vestigial / dead config</t>
        </is>
      </c>
      <c r="F29" s="8" t="inlineStr">
        <is>
          <t>No</t>
        </is>
      </c>
      <c r="G29" s="8" t="inlineStr">
        <is>
          <t>isVerified rule guard survives although email verification was removed</t>
        </is>
      </c>
      <c r="H29" s="8" t="inlineStr">
        <is>
          <t>firestore.rules:104-105 only lets an owner flip isVerified to true.</t>
        </is>
      </c>
      <c r="I29" s="8" t="inlineStr">
        <is>
          <t>AuthContext.tsx:103 sets isVerified:true for every signed-in user (verification removed; welcome email instead).</t>
        </is>
      </c>
      <c r="J29" s="8" t="inlineStr">
        <is>
          <t>A guard for a state that no longer exists.</t>
        </is>
      </c>
      <c r="K29" s="8" t="inlineStr">
        <is>
          <t>None functionally; misleads readers into thinking verification is enforced.</t>
        </is>
      </c>
      <c r="L29" s="8" t="inlineStr">
        <is>
          <t>Delete the field and guard, or comment that it is the welcome-email trigger flag.</t>
        </is>
      </c>
      <c r="M29" s="8" t="inlineStr">
        <is>
          <t>firestore.rules:104-105; src/context/AuthContext.tsx:103</t>
        </is>
      </c>
      <c r="N29" s="8" t="inlineStr">
        <is>
          <t>grep isVerified</t>
        </is>
      </c>
    </row>
    <row r="30" ht="150" customHeight="1">
      <c r="A30" s="8" t="inlineStr">
        <is>
          <t>C-29</t>
        </is>
      </c>
      <c r="B30" s="8" t="inlineStr">
        <is>
          <t>Architecture rules</t>
        </is>
      </c>
      <c r="C30" s="8" t="inlineStr">
        <is>
          <t>Services</t>
        </is>
      </c>
      <c r="D30" s="8" t="inlineStr">
        <is>
          <t>Medium</t>
        </is>
      </c>
      <c r="E30" s="8" t="inlineStr">
        <is>
          <t>Rule violation</t>
        </is>
      </c>
      <c r="F30" s="8" t="inlineStr">
        <is>
          <t>No</t>
        </is>
      </c>
      <c r="G30" s="8" t="inlineStr">
        <is>
          <t>ServicesElements.tsx reads Firestore — breaks the CLAUDE.md 'Elements = presentation only' rule</t>
        </is>
      </c>
      <c r="H30" s="8" t="inlineStr">
        <is>
          <t>CLAUDE.md §*Elements.tsx: 'Presentation only. Props in, callbacks out. Firestore access stays in the page's hook or service'.</t>
        </is>
      </c>
      <c r="I30" s="8" t="inlineStr">
        <is>
          <t>src/pages/services/ServicesElements.tsx:7-8 imports db + getDocs; :215 `getDocs(collection(db,'users'))` inside the component.</t>
        </is>
      </c>
      <c r="J30" s="8" t="inlineStr">
        <is>
          <t>The one Elements file that owns data access.</t>
        </is>
      </c>
      <c r="K30" s="8" t="inlineStr">
        <is>
          <t>The pattern erodes; the users read is also a fifth independent roster loader (C-30).</t>
        </is>
      </c>
      <c r="L30" s="8" t="inlineStr">
        <is>
          <t>Move the read into useServices.ts (or useMemberRoster) and pass the list as a prop.</t>
        </is>
      </c>
      <c r="M30" s="8" t="inlineStr">
        <is>
          <t>src/pages/services/ServicesElements.tsx:7,215; CLAUDE.md</t>
        </is>
      </c>
      <c r="N30" s="8" t="inlineStr">
        <is>
          <t>grep firebase imports in *Elements.tsx</t>
        </is>
      </c>
    </row>
    <row r="31" ht="150" customHeight="1">
      <c r="A31" s="8" t="inlineStr">
        <is>
          <t>C-30</t>
        </is>
      </c>
      <c r="B31" s="8" t="inlineStr">
        <is>
          <t>Architecture rules</t>
        </is>
      </c>
      <c r="C31" s="8" t="inlineStr">
        <is>
          <t>Matches / Courts / Services / Tournament</t>
        </is>
      </c>
      <c r="D31" s="8" t="inlineStr">
        <is>
          <t>Low</t>
        </is>
      </c>
      <c r="E31" s="8" t="inlineStr">
        <is>
          <t>Multiple logics on one thing</t>
        </is>
      </c>
      <c r="F31" s="8" t="inlineStr">
        <is>
          <t>No</t>
        </is>
      </c>
      <c r="G31" s="8" t="inlineStr">
        <is>
          <t>The full `users` roster is loaded independently in five places</t>
        </is>
      </c>
      <c r="H31" s="8" t="inlineStr">
        <is>
          <t>src/features/members/useMemberRoster.ts:23 — the shared, deduped loader.</t>
        </is>
      </c>
      <c r="I31" s="8" t="inlineStr">
        <is>
          <t>Matches.tsx:170, courtmap/useCourtData.ts:104 (fallback), services/ServicesElements.tsx:215, tournament/useTournament.ts:360 each call getDocs(collection(db,'users')) themselves.</t>
        </is>
      </c>
      <c r="J31" s="8" t="inlineStr">
        <is>
          <t>Five reads of a 189-doc collection with four private caches.</t>
        </is>
      </c>
      <c r="K31" s="8" t="inlineStr">
        <is>
          <t>Cost and drift (name normalisation, hidden members) differ per page.</t>
        </is>
      </c>
      <c r="L31" s="8" t="inlineStr">
        <is>
          <t>Route all four through useMemberRoster.</t>
        </is>
      </c>
      <c r="M31" s="8" t="inlineStr">
        <is>
          <t>see Logic B</t>
        </is>
      </c>
      <c r="N31" s="8" t="inlineStr">
        <is>
          <t>grep collection(db, 'users')</t>
        </is>
      </c>
    </row>
    <row r="32" ht="150" customHeight="1">
      <c r="A32" s="8" t="inlineStr">
        <is>
          <t>C-31</t>
        </is>
      </c>
      <c r="B32" s="8" t="inlineStr">
        <is>
          <t>Theme rules</t>
        </is>
      </c>
      <c r="C32" s="8" t="inlineStr">
        <is>
          <t>Services / Tournament</t>
        </is>
      </c>
      <c r="D32" s="8" t="inlineStr">
        <is>
          <t>Low</t>
        </is>
      </c>
      <c r="E32" s="8" t="inlineStr">
        <is>
          <t>Rule violation</t>
        </is>
      </c>
      <c r="F32" s="8" t="inlineStr">
        <is>
          <t>No</t>
        </is>
      </c>
      <c r="G32" s="8" t="inlineStr">
        <is>
          <t>A third text tier and a hardcoded colour survive the two-tier sweep</t>
        </is>
      </c>
      <c r="H32" s="8" t="inlineStr">
        <is>
          <t>CLAUDE.md §Text colour: only text-fg and text-fg/70; never a dimmer tier; never a theme-blind colour.</t>
        </is>
      </c>
      <c r="I32" s="8" t="inlineStr">
        <is>
          <t>ServicesElements.tsx:313,345,351 use text-fg/60 on unselected chips; MatchCard.tsx:70 `[&amp;&gt;option]:text-black` on the native select (the white-on-white dropdown workaround).</t>
        </is>
      </c>
      <c r="J32" s="8" t="inlineStr">
        <is>
          <t>Live code contradicts the codified rule.</t>
        </is>
      </c>
      <c r="K32" s="8" t="inlineStr">
        <is>
          <t>text-fg/60 reads pale in light theme (the reported bug); black option text is a native-widget exception that should be documented, not silent.</t>
        </is>
      </c>
      <c r="L32" s="8" t="inlineStr">
        <is>
          <t>Change /60 → /70 + opacity-50 for disabled; either token the option colour or add the exception to CLAUDE.md.</t>
        </is>
      </c>
      <c r="M32" s="8" t="inlineStr">
        <is>
          <t>src/pages/services/ServicesElements.tsx:313,345,351; src/pages/tournament/MatchCard.tsx:70</t>
        </is>
      </c>
      <c r="N32" s="8" t="inlineStr">
        <is>
          <t>grep text-fg/(60|50|40) etc.</t>
        </is>
      </c>
    </row>
    <row r="33" ht="150" customHeight="1">
      <c r="A33" s="8" t="inlineStr">
        <is>
          <t>C-32</t>
        </is>
      </c>
      <c r="B33" s="8" t="inlineStr">
        <is>
          <t>Docs vs code</t>
        </is>
      </c>
      <c r="C33" s="8" t="inlineStr">
        <is>
          <t>Tournament (RR) / Docs</t>
        </is>
      </c>
      <c r="D33" s="8" t="inlineStr">
        <is>
          <t>Medium</t>
        </is>
      </c>
      <c r="E33" s="8" t="inlineStr">
        <is>
          <t>Doc contradicts code</t>
        </is>
      </c>
      <c r="F33" s="8" t="inlineStr">
        <is>
          <t>No</t>
        </is>
      </c>
      <c r="G33" s="8" t="inlineStr">
        <is>
          <t>scripts/regroup-rr.js is deleted but six documents and a code comment still describe it as live</t>
        </is>
      </c>
      <c r="H33" s="8" t="inlineStr">
        <is>
          <t>git status: `D scripts/regroup-rr.js`, `D .claude/skills/regroup-rr/SKILL.md`; CLAUDE.md §Round Robin: both auto-placers deleted, 'Don't reintroduce either'.</t>
        </is>
      </c>
      <c r="I33" s="8" t="inlineStr">
        <is>
          <t>FILE_MAP.md:39, Function_Inventory.md:557, WORKFLOWS.md:189/372, TECHNICAL_HANDOVER.md:37/71/289/349, SECURITY_AND_MOBILE_READINESS.md:91/187 all present `npm run regroup:rr` as the nightly late-joiner placement; functions/lib/points.js:10 cites it as the mirroring pattern.</t>
        </is>
      </c>
      <c r="J33" s="8" t="inlineStr">
        <is>
          <t>The handover tells the incoming lead to run a script that no longer exists, and describes placement as automated when CLAUDE.md says it is manual.</t>
        </is>
      </c>
      <c r="K33" s="8" t="inlineStr">
        <is>
          <t>Anuj Raja will look for automation that isn't there; late joiners wait unplaced.</t>
        </is>
      </c>
      <c r="L33" s="8" t="inlineStr">
        <is>
          <t>Sweep the six docs + comment; verify package.json no longer defines regroup:rr.</t>
        </is>
      </c>
      <c r="M33" s="8" t="inlineStr">
        <is>
          <t>FILE_MAP.md; Function_Inventory.md; WORKFLOWS.md; TECHNICAL_HANDOVER.md; SECURITY_AND_MOBILE_READINESS.md; functions/lib/points.js:10; CLAUDE.md</t>
        </is>
      </c>
      <c r="N33" s="8" t="inlineStr">
        <is>
          <t>grep regroup</t>
        </is>
      </c>
    </row>
    <row r="34" ht="150" customHeight="1">
      <c r="A34" s="8" t="inlineStr">
        <is>
          <t>C-33</t>
        </is>
      </c>
      <c r="B34" s="8" t="inlineStr">
        <is>
          <t>Docs vs code</t>
        </is>
      </c>
      <c r="C34" s="8" t="inlineStr">
        <is>
          <t>Docs / Tournament / Matches</t>
        </is>
      </c>
      <c r="D34" s="8" t="inlineStr">
        <is>
          <t>Medium</t>
        </is>
      </c>
      <c r="E34" s="8" t="inlineStr">
        <is>
          <t>Doc contradicts code</t>
        </is>
      </c>
      <c r="F34" s="8" t="inlineStr">
        <is>
          <t>No</t>
        </is>
      </c>
      <c r="G34" s="8" t="inlineStr">
        <is>
          <t>CLAUDE.md 'one runtime writer of stats' and 'friendlies pay nothing' are both false</t>
        </is>
      </c>
      <c r="H34" s="8" t="inlineStr">
        <is>
          <t>CLAUDE.md §Stats data flow: 'One source writes to stats/{userId} at runtime: useTournament.ts'. §Leagues: friendlies have 'no points, standings impact'.</t>
        </is>
      </c>
      <c r="I34" s="8" t="inlineStr">
        <is>
          <t>Writers today: useTournament, ladderService.confirmChallenge, functions/friendlyPoints.js, functions/rankSnapshot.js, profileService, Signup (see C-02, C-03).</t>
        </is>
      </c>
      <c r="J34" s="8" t="inlineStr">
        <is>
          <t>The engineering rulebook the agent reads first misstates the money path.</t>
        </is>
      </c>
      <c r="K34" s="8" t="inlineStr">
        <is>
          <t>Future changes reason from a wrong invariant.</t>
        </is>
      </c>
      <c r="L34" s="8" t="inlineStr">
        <is>
          <t>Replace both sentences with the writer table from C-03.</t>
        </is>
      </c>
      <c r="M34" s="8" t="inlineStr">
        <is>
          <t>CLAUDE.md</t>
        </is>
      </c>
      <c r="N34" s="8" t="inlineStr">
        <is>
          <t>grep leaguePoints26 writers</t>
        </is>
      </c>
    </row>
    <row r="35" ht="150" customHeight="1">
      <c r="A35" s="8" t="inlineStr">
        <is>
          <t>C-34</t>
        </is>
      </c>
      <c r="B35" s="8" t="inlineStr">
        <is>
          <t>Docs vs code</t>
        </is>
      </c>
      <c r="C35" s="8" t="inlineStr">
        <is>
          <t>Docs / Tournament</t>
        </is>
      </c>
      <c r="D35" s="8" t="inlineStr">
        <is>
          <t>Low</t>
        </is>
      </c>
      <c r="E35" s="8" t="inlineStr">
        <is>
          <t>Doc contradicts code</t>
        </is>
      </c>
      <c r="F35" s="8" t="inlineStr">
        <is>
          <t>No</t>
        </is>
      </c>
      <c r="G35" s="8" t="inlineStr">
        <is>
          <t>CLAUDE.md and the handover reference computeMatchPoints(), which no longer exists</t>
        </is>
      </c>
      <c r="H35" s="8" t="inlineStr">
        <is>
          <t>CLAUDE.md §Tournament draw engine: 'Points are computed by the shared computeMatchPoints(match) helper'; TECHNICAL_HANDOVER.md:349 lists computeMatchPoints↔computeGroupStandings as a hand-synced pair.</t>
        </is>
      </c>
      <c r="I35" s="8" t="inlineStr">
        <is>
          <t>src has no computeMatchPoints; utils.ts:53 matchAward is the single source and computeGroupStandings now calls it (CLAUDE.md's own later paragraph says so).</t>
        </is>
      </c>
      <c r="J35" s="8" t="inlineStr">
        <is>
          <t>The rulebook names both the old and the new function for the same rule.</t>
        </is>
      </c>
      <c r="K35" s="8" t="inlineStr">
        <is>
          <t>Confuses readers about whether two copies still exist.</t>
        </is>
      </c>
      <c r="L35" s="8" t="inlineStr">
        <is>
          <t>Delete the computeMatchPoints sentence; drop the pair from the handover.</t>
        </is>
      </c>
      <c r="M35" s="8" t="inlineStr">
        <is>
          <t>CLAUDE.md; TECHNICAL_HANDOVER.md:349; src/pages/tournament/utils.ts:53</t>
        </is>
      </c>
      <c r="N35" s="8" t="inlineStr">
        <is>
          <t>grep computeMatchPoints (0 hits in src)</t>
        </is>
      </c>
    </row>
    <row r="36" ht="150" customHeight="1">
      <c r="A36" s="8" t="inlineStr">
        <is>
          <t>C-35</t>
        </is>
      </c>
      <c r="B36" s="8" t="inlineStr">
        <is>
          <t>Docs vs code</t>
        </is>
      </c>
      <c r="C36" s="8" t="inlineStr">
        <is>
          <t>Docs / Cloud Functions</t>
        </is>
      </c>
      <c r="D36" s="8" t="inlineStr">
        <is>
          <t>Low</t>
        </is>
      </c>
      <c r="E36" s="8" t="inlineStr">
        <is>
          <t>Doc contradicts code</t>
        </is>
      </c>
      <c r="F36" s="8" t="inlineStr">
        <is>
          <t>No</t>
        </is>
      </c>
      <c r="G36" s="8" t="inlineStr">
        <is>
          <t>Handover's function inventory predates friendlyPoints/adminMetrics/accountLookup</t>
        </is>
      </c>
      <c r="H36" s="8" t="inlineStr">
        <is>
          <t>TECHNICAL_HANDOVER.md §2 says '45 exports across 9 files'.</t>
        </is>
      </c>
      <c r="I36" s="8" t="inlineStr">
        <is>
          <t>functions/ now has 12 files (accountLookup.js, adminMetrics.js, friendlyPoints.js added) with 48 exports found by grep.</t>
        </is>
      </c>
      <c r="J36" s="8" t="inlineStr">
        <is>
          <t>Inventory drift within days of writing.</t>
        </is>
      </c>
      <c r="K36" s="8" t="inlineStr">
        <is>
          <t>Ops instructions (deploy targets) miss three functions.</t>
        </is>
      </c>
      <c r="L36" s="8" t="inlineStr">
        <is>
          <t>Regenerate the inventory from `grep exports.` at handover time.</t>
        </is>
      </c>
      <c r="M36" s="8" t="inlineStr">
        <is>
          <t>TECHNICAL_HANDOVER.md; functions/*.js</t>
        </is>
      </c>
      <c r="N36" s="8" t="inlineStr">
        <is>
          <t>grep exports across functions/</t>
        </is>
      </c>
    </row>
    <row r="37" ht="150" customHeight="1">
      <c r="A37" s="8" t="inlineStr">
        <is>
          <t>C-36</t>
        </is>
      </c>
      <c r="B37" s="8" t="inlineStr">
        <is>
          <t>Hand-synced mirrors</t>
        </is>
      </c>
      <c r="C37" s="8" t="inlineStr">
        <is>
          <t>Tasks / Services / Cloud Functions</t>
        </is>
      </c>
      <c r="D37" s="8" t="inlineStr">
        <is>
          <t>Low</t>
        </is>
      </c>
      <c r="E37" s="8" t="inlineStr">
        <is>
          <t>Duplicate logic (in sync)</t>
        </is>
      </c>
      <c r="F37" s="8" t="inlineStr">
        <is>
          <t>Yes</t>
        </is>
      </c>
      <c r="G37" s="8" t="inlineStr">
        <is>
          <t>Tier catalogue duplicated client/server — 44 tiers, identical today</t>
        </is>
      </c>
      <c r="H37" s="8" t="inlineStr">
        <is>
          <t>src/features/tasks/taskCatalog.ts tiers (what the client promises).</t>
        </is>
      </c>
      <c r="I37" s="8" t="inlineStr">
        <is>
          <t>functions/lib/points.js ALL_TIERS (what the server pays; also sums redeemable balances in rewards.js).</t>
        </is>
      </c>
      <c r="J37" s="8" t="inlineStr">
        <is>
          <t>Verified pairwise identical (ids, points, counters, needs) on 2026-08-14; no test guards it.</t>
        </is>
      </c>
      <c r="K37" s="8" t="inlineStr">
        <is>
          <t>A one-line edit on one side silently changes what players are promised vs paid.</t>
        </is>
      </c>
      <c r="L37" s="8" t="inlineStr">
        <is>
          <t>Parity script in `npm run lint` that diffs the two arrays.</t>
        </is>
      </c>
      <c r="M37" s="8" t="inlineStr">
        <is>
          <t>src/features/tasks/taskCatalog.ts; functions/lib/points.js</t>
        </is>
      </c>
      <c r="N37" s="8" t="inlineStr">
        <is>
          <t>grep -o tier objects both files</t>
        </is>
      </c>
    </row>
    <row r="38" ht="150" customHeight="1">
      <c r="A38" s="8" t="inlineStr">
        <is>
          <t>C-37</t>
        </is>
      </c>
      <c r="B38" s="8" t="inlineStr">
        <is>
          <t>Hand-synced mirrors</t>
        </is>
      </c>
      <c r="C38" s="8" t="inlineStr">
        <is>
          <t>Courts</t>
        </is>
      </c>
      <c r="D38" s="8" t="inlineStr">
        <is>
          <t>Low</t>
        </is>
      </c>
      <c r="E38" s="8" t="inlineStr">
        <is>
          <t>Duplicate logic (in sync)</t>
        </is>
      </c>
      <c r="F38" s="8" t="inlineStr">
        <is>
          <t>Yes</t>
        </is>
      </c>
      <c r="G38" s="8" t="inlineStr">
        <is>
          <t>Court player counts computed twice: 6-hourly function and an in-browser fallback</t>
        </is>
      </c>
      <c r="H38" s="8" t="inlineStr">
        <is>
          <t>functions/courtCounts.js:26-59 — 'points OR active in last 90 days' rule, NINETY_DAYS_MS mirrored from courtMapUtils.ts.</t>
        </is>
      </c>
      <c r="I38" s="8" t="inlineStr">
        <is>
          <t>src/pages/courtmap/useCourtData.ts:99-134 — the same rule re-implemented client-side (three full-collection reads) as a fallback if site_stats/court_counts is missing.</t>
        </is>
      </c>
      <c r="J38" s="8" t="inlineStr">
        <is>
          <t>Two implementations of one metric; the fallback bypasses the aggregation the function exists to remove.</t>
        </is>
      </c>
      <c r="K38" s="8" t="inlineStr">
        <is>
          <t>Rule drift between them changes the public map silently.</t>
        </is>
      </c>
      <c r="L38" s="8" t="inlineStr">
        <is>
          <t>Now that the function is deployed, delete the fallback (show '—' when the doc is missing).</t>
        </is>
      </c>
      <c r="M38" s="8" t="inlineStr">
        <is>
          <t>functions/courtCounts.js:26-59; src/pages/courtmap/useCourtData.ts:99-134</t>
        </is>
      </c>
      <c r="N38" s="8" t="inlineStr">
        <is>
          <t>Read both</t>
        </is>
      </c>
    </row>
    <row r="39" ht="150" customHeight="1">
      <c r="A39" s="8" t="inlineStr">
        <is>
          <t>C-38</t>
        </is>
      </c>
      <c r="B39" s="8" t="inlineStr">
        <is>
          <t>Hand-synced mirrors</t>
        </is>
      </c>
      <c r="C39" s="8" t="inlineStr">
        <is>
          <t>Tournament / Cloud Functions</t>
        </is>
      </c>
      <c r="D39" s="8" t="inlineStr">
        <is>
          <t>Low</t>
        </is>
      </c>
      <c r="E39" s="8" t="inlineStr">
        <is>
          <t>Multiple logics on one thing</t>
        </is>
      </c>
      <c r="F39" s="8" t="inlineStr">
        <is>
          <t>Yes</t>
        </is>
      </c>
      <c r="G39" s="8" t="inlineStr">
        <is>
          <t>PLAYER_LOADING vs PLAYER_LOADING_SENTINEL, plus string literals in functions</t>
        </is>
      </c>
      <c r="H39" s="8" t="inlineStr">
        <is>
          <t>utils.ts:81 PLAYER_LOADING = 'Player Loading' (the name stored on match docs; mirrored as a literal in functions/zoneMoves.js:33 and referenced in connections.js:96).</t>
        </is>
      </c>
      <c r="I39" s="8" t="inlineStr">
        <is>
          <t>AddPlayerPanel.tsx:7 PLAYER_LOADING_SENTINEL = '__player_loading__' (dropdown value; RRGroupCard.tsx:380, useTournament.ts:1875).</t>
        </is>
      </c>
      <c r="J39" s="8" t="inlineStr">
        <is>
          <t>Two constants for 'the placeholder player', one of them re-typed by hand server-side.</t>
        </is>
      </c>
      <c r="K39" s="8" t="inlineStr">
        <is>
          <t>A rename of the display string breaks zone moves and connections silently.</t>
        </is>
      </c>
      <c r="L39" s="8" t="inlineStr">
        <is>
          <t>Export the display constant to a shared JSON both packages import, or add it to the parity script (C-24).</t>
        </is>
      </c>
      <c r="M39" s="8" t="inlineStr">
        <is>
          <t>src/pages/tournament/utils.ts:81; src/pages/tournament/AddPlayerPanel.tsx:7; functions/zoneMoves.js:33</t>
        </is>
      </c>
      <c r="N39" s="8" t="inlineStr">
        <is>
          <t>grep PLAYER_LOADING</t>
        </is>
      </c>
    </row>
  </sheetData>
  <autoFilter ref="A1:N39"/>
  <conditionalFormatting sqref="D2:D39">
    <cfRule type="expression" priority="1" dxfId="0">
      <formula>$D2="High"</formula>
    </cfRule>
    <cfRule type="expression" priority="2" dxfId="1">
      <formula>$D2="Medium"</formula>
    </cfRule>
    <cfRule type="expression" priority="3" dxfId="2">
      <formula>$D2="Low"</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00" customWidth="1" min="2" max="2"/>
  </cols>
  <sheetData>
    <row r="1">
      <c r="A1" s="9" t="inlineStr">
        <is>
          <t>Column</t>
        </is>
      </c>
      <c r="B1" s="9" t="inlineStr">
        <is>
          <t>Meaning</t>
        </is>
      </c>
    </row>
    <row r="2">
      <c r="A2" s="10" t="inlineStr">
        <is>
          <t>ID</t>
        </is>
      </c>
      <c r="B2" s="11" t="inlineStr">
        <is>
          <t>Stable reference (C-01…). Use it in commits/PRs that resolve the finding.</t>
        </is>
      </c>
    </row>
    <row r="3">
      <c r="A3" s="10" t="inlineStr">
        <is>
          <t>Category</t>
        </is>
      </c>
      <c r="B3" s="11" t="inlineStr">
        <is>
          <t>What kind of thing conflicts: Points &amp; scoring · Skill bands &amp; divisions · Leaderboards &amp; rank · Tournament advancement · Draw placement · Zones · Contacts &amp; privacy · Security rules vs code · Architecture rules · Theme rules · Docs vs code · Hand-synced mirrors.</t>
        </is>
      </c>
    </row>
    <row r="4">
      <c r="A4" s="10" t="inlineStr">
        <is>
          <t>Page / Workflow</t>
        </is>
      </c>
      <c r="B4" s="11" t="inlineStr">
        <is>
          <t>Where a user (or operator) meets it. Several pages may be listed; the Summary counts a finding under each page it names.</t>
        </is>
      </c>
    </row>
    <row r="5">
      <c r="A5" s="10" t="inlineStr">
        <is>
          <t>Severity</t>
        </is>
      </c>
      <c r="B5" s="11" t="inlineStr">
        <is>
          <t>High = wrong points/visibility/data for members today. Medium = user-visible inconsistency or a latent bug with a clear trigger. Low = drift risk, vestigial code, cosmetic or documentation.</t>
        </is>
      </c>
    </row>
    <row r="6">
      <c r="A6" s="10" t="inlineStr">
        <is>
          <t>Nature</t>
        </is>
      </c>
      <c r="B6" s="11" t="inlineStr">
        <is>
          <t>Conflicting logic (two implementations disagree) · Multiple logics on one thing (same concept computed in &gt;1 place) · Duplicate logic (in sync) (same rule written twice, identical today — needs a parity test) · Duplicate logic (drifted) (written twice and already different) · Doc contradicts code · Rules vs code · Field with two meanings · Vestigial / dead config · Rule violation (breaks a codified CLAUDE.md rule) · Latent bug.</t>
        </is>
      </c>
    </row>
    <row r="7">
      <c r="A7" s="10" t="inlineStr">
        <is>
          <t>Intentional / documented?</t>
        </is>
      </c>
      <c r="B7" s="11" t="inlineStr">
        <is>
          <t>Yes = a by-design or documented duplication (mirrors across the language boundary, deliberate two-path features, deploy-order fallbacks). Filter to No for the rows that need a decision or a fix.</t>
        </is>
      </c>
    </row>
    <row r="8">
      <c r="A8" s="10" t="inlineStr">
        <is>
          <t>Logic A / Logic B</t>
        </is>
      </c>
      <c r="B8" s="11" t="inlineStr">
        <is>
          <t>The competing implementations, each with file:line from the local tree on 2026-08-14.</t>
        </is>
      </c>
    </row>
    <row r="9">
      <c r="A9" s="10" t="inlineStr">
        <is>
          <t>Verified how</t>
        </is>
      </c>
      <c r="B9" s="11" t="inlineStr">
        <is>
          <t>What was read or grepped to confirm the row. Nothing here is inferred from documentation alone unless the row says so.</t>
        </is>
      </c>
    </row>
    <row r="10">
      <c r="A10" s="10" t="inlineStr"/>
      <c r="B10" s="11" t="inlineStr"/>
    </row>
    <row r="11">
      <c r="A11" s="10" t="inlineStr">
        <is>
          <t>Method</t>
        </is>
      </c>
      <c r="B11" s="11" t="inlineStr">
        <is>
          <t>Reviewed src/, functions/, firestore.rules and the root documents; verified every documented duplication in CLAUDE.md / Tournament_Logic_Report against current code and hunted for undocumented ones (skill mappings, 'played' definitions, walkover handling, slot predicates, division parsers, leaderboard sorts, public counters, roster loaders, theme tokens, docs vs deleted files).</t>
        </is>
      </c>
    </row>
    <row r="12">
      <c r="A12" s="10" t="inlineStr">
        <is>
          <t>Not covered</t>
        </is>
      </c>
      <c r="B12" s="11" t="inlineStr">
        <is>
          <t>The DEPLOYED Firestore rules were not diffed against the repo copy (CLAUDE.md warns they can differ). Notification type coverage, storage.rules, and the Admin scripts in scripts/ (other than snapshot-ranks.mjs) were not audited. Intentional, documented duplications are included and marked so you can filter them out.</t>
        </is>
      </c>
    </row>
    <row r="13">
      <c r="A13" s="10" t="inlineStr">
        <is>
          <t>How to use</t>
        </is>
      </c>
      <c r="B13" s="11" t="inlineStr">
        <is>
          <t>Filter Severity = High first (3 rows). Then filter Nature = 'Doc contradicts code' before the handover goes out. Rows marked 'Hand-synced mirror' are not bugs today — they are the list for a parity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2026-08-18T20:51:07Z</dcterms:created>
  <dcterms:modified xmlns:dcterms="http://purl.org/dc/terms/" xmlns:xsi="http://www.w3.org/2001/XMLSchema-instance" xsi:type="dcterms:W3CDTF">2026-08-18T20:51:07Z</dcterms:modified>
</cp:coreProperties>
</file>